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84" yWindow="24" windowWidth="21096" windowHeight="11856" firstSheet="1" activeTab="4"/>
  </bookViews>
  <sheets>
    <sheet name="シート情報" sheetId="3" r:id="rId1"/>
    <sheet name="行列情報" sheetId="1" r:id="rId2"/>
    <sheet name="貼り付けコード" sheetId="4" r:id="rId3"/>
    <sheet name="改訂履歴" sheetId="5" r:id="rId4"/>
    <sheet name="Sheet1" sheetId="6" r:id="rId5"/>
  </sheets>
  <functionGroups builtInGroupCount="17"/>
  <externalReferences>
    <externalReference r:id="rId6"/>
  </externalReferences>
  <definedNames>
    <definedName name="シート情報">シート情報!$A$3:$F$7</definedName>
    <definedName name="シート名">シート情報!$A$3:$A$7</definedName>
  </definedNames>
  <calcPr calcId="145621"/>
</workbook>
</file>

<file path=xl/calcChain.xml><?xml version="1.0" encoding="utf-8"?>
<calcChain xmlns="http://schemas.openxmlformats.org/spreadsheetml/2006/main">
  <c r="O15" i="1" l="1"/>
  <c r="H15" i="1"/>
  <c r="J15" i="1" s="1"/>
  <c r="G15" i="1"/>
  <c r="F15" i="1"/>
  <c r="E15" i="1"/>
  <c r="K15" i="1" s="1"/>
  <c r="O14" i="1"/>
  <c r="H14" i="1"/>
  <c r="J14" i="1" s="1"/>
  <c r="G14" i="1"/>
  <c r="F14" i="1"/>
  <c r="E14" i="1"/>
  <c r="K14" i="1" s="1"/>
  <c r="L15" i="1"/>
  <c r="L14" i="1"/>
  <c r="N15" i="1" l="1"/>
  <c r="M15" i="1"/>
  <c r="P15" i="1" s="1"/>
  <c r="N14" i="1"/>
  <c r="M14" i="1"/>
  <c r="P14" i="1" s="1"/>
  <c r="O17" i="1"/>
  <c r="H17" i="1"/>
  <c r="J17" i="1" s="1"/>
  <c r="G17" i="1"/>
  <c r="F17" i="1"/>
  <c r="E17" i="1"/>
  <c r="K17" i="1" s="1"/>
  <c r="O33" i="1"/>
  <c r="H33" i="1"/>
  <c r="J33" i="1" s="1"/>
  <c r="G33" i="1"/>
  <c r="F33" i="1"/>
  <c r="E33" i="1"/>
  <c r="K33" i="1" s="1"/>
  <c r="O32" i="1"/>
  <c r="H32" i="1"/>
  <c r="J32" i="1" s="1"/>
  <c r="G32" i="1"/>
  <c r="F32" i="1"/>
  <c r="E32" i="1"/>
  <c r="K32" i="1" s="1"/>
  <c r="L32" i="1"/>
  <c r="L33" i="1"/>
  <c r="L17" i="1"/>
  <c r="Q15" i="1" l="1"/>
  <c r="Q14" i="1"/>
  <c r="N17" i="1"/>
  <c r="M17" i="1"/>
  <c r="P17" i="1" s="1"/>
  <c r="N32" i="1"/>
  <c r="Q32" i="1" s="1"/>
  <c r="N33" i="1"/>
  <c r="M32" i="1"/>
  <c r="P32" i="1" s="1"/>
  <c r="M33" i="1"/>
  <c r="P33" i="1" s="1"/>
  <c r="O41" i="1"/>
  <c r="H41" i="1"/>
  <c r="G41" i="1"/>
  <c r="F41" i="1"/>
  <c r="E41" i="1"/>
  <c r="K41" i="1" s="1"/>
  <c r="O40" i="1"/>
  <c r="H40" i="1"/>
  <c r="J40" i="1" s="1"/>
  <c r="G40" i="1"/>
  <c r="F40" i="1"/>
  <c r="E40" i="1"/>
  <c r="K40" i="1" s="1"/>
  <c r="O39" i="1"/>
  <c r="H39" i="1"/>
  <c r="J39" i="1" s="1"/>
  <c r="G39" i="1"/>
  <c r="F39" i="1"/>
  <c r="E39" i="1"/>
  <c r="K39" i="1" s="1"/>
  <c r="O38" i="1"/>
  <c r="H38" i="1"/>
  <c r="J38" i="1" s="1"/>
  <c r="G38" i="1"/>
  <c r="F38" i="1"/>
  <c r="E38" i="1"/>
  <c r="K38" i="1" s="1"/>
  <c r="O37" i="1"/>
  <c r="H37" i="1"/>
  <c r="G37" i="1"/>
  <c r="F37" i="1"/>
  <c r="E37" i="1"/>
  <c r="K37" i="1" s="1"/>
  <c r="O36" i="1"/>
  <c r="H36" i="1"/>
  <c r="J36" i="1" s="1"/>
  <c r="G36" i="1"/>
  <c r="F36" i="1"/>
  <c r="E36" i="1"/>
  <c r="K36" i="1" s="1"/>
  <c r="O35" i="1"/>
  <c r="H35" i="1"/>
  <c r="J35" i="1" s="1"/>
  <c r="G35" i="1"/>
  <c r="F35" i="1"/>
  <c r="E35" i="1"/>
  <c r="K35" i="1" s="1"/>
  <c r="O34" i="1"/>
  <c r="H34" i="1"/>
  <c r="J34" i="1" s="1"/>
  <c r="G34" i="1"/>
  <c r="F34" i="1"/>
  <c r="E34" i="1"/>
  <c r="K34" i="1" s="1"/>
  <c r="H31" i="1"/>
  <c r="J31" i="1" s="1"/>
  <c r="G31" i="1"/>
  <c r="H30" i="1"/>
  <c r="G30" i="1"/>
  <c r="H29" i="1"/>
  <c r="G29" i="1"/>
  <c r="H28" i="1"/>
  <c r="G28" i="1"/>
  <c r="H27" i="1"/>
  <c r="J27" i="1" s="1"/>
  <c r="G27" i="1"/>
  <c r="H26" i="1"/>
  <c r="G26" i="1"/>
  <c r="H25" i="1"/>
  <c r="G25" i="1"/>
  <c r="H24" i="1"/>
  <c r="G24" i="1"/>
  <c r="H23" i="1"/>
  <c r="J23" i="1" s="1"/>
  <c r="G23" i="1"/>
  <c r="H22" i="1"/>
  <c r="G22" i="1"/>
  <c r="H21" i="1"/>
  <c r="G21" i="1"/>
  <c r="H20" i="1"/>
  <c r="G20" i="1"/>
  <c r="H19" i="1"/>
  <c r="J19" i="1" s="1"/>
  <c r="G19" i="1"/>
  <c r="H18" i="1"/>
  <c r="G18" i="1"/>
  <c r="H16" i="1"/>
  <c r="G16" i="1"/>
  <c r="H13" i="1"/>
  <c r="G13" i="1"/>
  <c r="H12" i="1"/>
  <c r="J12" i="1" s="1"/>
  <c r="G12" i="1"/>
  <c r="H11" i="1"/>
  <c r="G11" i="1"/>
  <c r="H10" i="1"/>
  <c r="J10" i="1" s="1"/>
  <c r="G10" i="1"/>
  <c r="H9" i="1"/>
  <c r="G9" i="1"/>
  <c r="H8" i="1"/>
  <c r="J8" i="1" s="1"/>
  <c r="G8" i="1"/>
  <c r="H7" i="1"/>
  <c r="J7" i="1" s="1"/>
  <c r="G7" i="1"/>
  <c r="H6" i="1"/>
  <c r="J6" i="1" s="1"/>
  <c r="G6" i="1"/>
  <c r="H5" i="1"/>
  <c r="J5" i="1" s="1"/>
  <c r="G5" i="1"/>
  <c r="E6" i="3"/>
  <c r="F6" i="3" s="1"/>
  <c r="D6" i="3"/>
  <c r="E5" i="3"/>
  <c r="I34" i="1" s="1"/>
  <c r="D5" i="3"/>
  <c r="E4" i="3"/>
  <c r="D4" i="3"/>
  <c r="O31" i="1"/>
  <c r="O30" i="1"/>
  <c r="O29" i="1"/>
  <c r="O28" i="1"/>
  <c r="O27" i="1"/>
  <c r="O26" i="1"/>
  <c r="O25" i="1"/>
  <c r="O24" i="1"/>
  <c r="O23" i="1"/>
  <c r="O22" i="1"/>
  <c r="O21" i="1"/>
  <c r="O20" i="1"/>
  <c r="O19" i="1"/>
  <c r="O18" i="1"/>
  <c r="O16" i="1"/>
  <c r="O13" i="1"/>
  <c r="O12" i="1"/>
  <c r="O11" i="1"/>
  <c r="O10" i="1"/>
  <c r="O9" i="1"/>
  <c r="O8" i="1"/>
  <c r="O7" i="1"/>
  <c r="O6" i="1"/>
  <c r="O5" i="1"/>
  <c r="F31" i="1"/>
  <c r="E31" i="1"/>
  <c r="M31" i="1" s="1"/>
  <c r="P31" i="1" s="1"/>
  <c r="J30" i="1"/>
  <c r="F30" i="1"/>
  <c r="E30" i="1"/>
  <c r="M30" i="1" s="1"/>
  <c r="P30" i="1" s="1"/>
  <c r="J29" i="1"/>
  <c r="F29" i="1"/>
  <c r="E29" i="1"/>
  <c r="J28" i="1"/>
  <c r="F28" i="1"/>
  <c r="E28" i="1"/>
  <c r="M28" i="1" s="1"/>
  <c r="P28" i="1" s="1"/>
  <c r="F27" i="1"/>
  <c r="E27" i="1"/>
  <c r="K27" i="1" s="1"/>
  <c r="J26" i="1"/>
  <c r="F26" i="1"/>
  <c r="E26" i="1"/>
  <c r="K26" i="1" s="1"/>
  <c r="J25" i="1"/>
  <c r="F25" i="1"/>
  <c r="E25" i="1"/>
  <c r="K25" i="1" s="1"/>
  <c r="J24" i="1"/>
  <c r="F24" i="1"/>
  <c r="E24" i="1"/>
  <c r="K24" i="1" s="1"/>
  <c r="F23" i="1"/>
  <c r="F22" i="1"/>
  <c r="F21" i="1"/>
  <c r="F20" i="1"/>
  <c r="F19" i="1"/>
  <c r="F18" i="1"/>
  <c r="F16" i="1"/>
  <c r="F13" i="1"/>
  <c r="F12" i="1"/>
  <c r="F11" i="1"/>
  <c r="F10" i="1"/>
  <c r="F9" i="1"/>
  <c r="F8" i="1"/>
  <c r="F7" i="1"/>
  <c r="F6" i="1"/>
  <c r="F5" i="1"/>
  <c r="J22" i="1"/>
  <c r="J21" i="1"/>
  <c r="J20" i="1"/>
  <c r="J18" i="1"/>
  <c r="J16" i="1"/>
  <c r="J13" i="1"/>
  <c r="J11" i="1"/>
  <c r="J9" i="1"/>
  <c r="E23" i="1"/>
  <c r="M23" i="1" s="1"/>
  <c r="P23" i="1" s="1"/>
  <c r="E22" i="1"/>
  <c r="K22" i="1" s="1"/>
  <c r="E21" i="1"/>
  <c r="E20" i="1"/>
  <c r="K20" i="1" s="1"/>
  <c r="E19" i="1"/>
  <c r="M19" i="1" s="1"/>
  <c r="P19" i="1" s="1"/>
  <c r="E18" i="1"/>
  <c r="K18" i="1" s="1"/>
  <c r="E16" i="1"/>
  <c r="K16" i="1" s="1"/>
  <c r="E13" i="1"/>
  <c r="M13" i="1" s="1"/>
  <c r="P13" i="1" s="1"/>
  <c r="E12" i="1"/>
  <c r="K12" i="1" s="1"/>
  <c r="E11" i="1"/>
  <c r="M11" i="1" s="1"/>
  <c r="P11" i="1" s="1"/>
  <c r="E10" i="1"/>
  <c r="K10" i="1" s="1"/>
  <c r="E9" i="1"/>
  <c r="M9" i="1" s="1"/>
  <c r="P9" i="1" s="1"/>
  <c r="E8" i="1"/>
  <c r="K8" i="1" s="1"/>
  <c r="E7" i="1"/>
  <c r="M7" i="1" s="1"/>
  <c r="P7" i="1" s="1"/>
  <c r="L20" i="1"/>
  <c r="L19" i="1"/>
  <c r="L13" i="1"/>
  <c r="L22" i="1"/>
  <c r="L39" i="1"/>
  <c r="L37" i="1"/>
  <c r="L9" i="1"/>
  <c r="L28" i="1"/>
  <c r="L38" i="1"/>
  <c r="L36" i="1"/>
  <c r="L18" i="1"/>
  <c r="L5" i="1"/>
  <c r="L27" i="1"/>
  <c r="L41" i="1"/>
  <c r="L21" i="1"/>
  <c r="L6" i="1"/>
  <c r="L16" i="1"/>
  <c r="L29" i="1"/>
  <c r="L35" i="1"/>
  <c r="L30" i="1"/>
  <c r="L26" i="1"/>
  <c r="L24" i="1"/>
  <c r="L8" i="1"/>
  <c r="L25" i="1"/>
  <c r="L11" i="1"/>
  <c r="L7" i="1"/>
  <c r="L31" i="1"/>
  <c r="L10" i="1"/>
  <c r="L12" i="1"/>
  <c r="L23" i="1"/>
  <c r="L40" i="1"/>
  <c r="L34" i="1"/>
  <c r="I36" i="1" l="1"/>
  <c r="I38" i="1"/>
  <c r="I40" i="1"/>
  <c r="I35" i="1"/>
  <c r="I37" i="1"/>
  <c r="I39" i="1"/>
  <c r="I41" i="1"/>
  <c r="F5" i="3"/>
  <c r="I33" i="1"/>
  <c r="R33" i="1" s="1"/>
  <c r="I32" i="1"/>
  <c r="F4" i="3"/>
  <c r="I15" i="1"/>
  <c r="R15" i="1" s="1"/>
  <c r="I14" i="1"/>
  <c r="R14" i="1" s="1"/>
  <c r="I17" i="1"/>
  <c r="R17" i="1" s="1"/>
  <c r="M21" i="1"/>
  <c r="P21" i="1" s="1"/>
  <c r="M29" i="1"/>
  <c r="P29" i="1" s="1"/>
  <c r="Q17" i="1"/>
  <c r="Q33" i="1"/>
  <c r="R32" i="1"/>
  <c r="M39" i="1"/>
  <c r="P39" i="1" s="1"/>
  <c r="M41" i="1"/>
  <c r="P41" i="1" s="1"/>
  <c r="M35" i="1"/>
  <c r="P35" i="1" s="1"/>
  <c r="M37" i="1"/>
  <c r="P37" i="1" s="1"/>
  <c r="J37" i="1"/>
  <c r="J41" i="1"/>
  <c r="N41" i="1" s="1"/>
  <c r="N38" i="1"/>
  <c r="N34" i="1"/>
  <c r="N35" i="1"/>
  <c r="N39" i="1"/>
  <c r="N36" i="1"/>
  <c r="N40" i="1"/>
  <c r="N37" i="1"/>
  <c r="M34" i="1"/>
  <c r="P34" i="1" s="1"/>
  <c r="M36" i="1"/>
  <c r="P36" i="1" s="1"/>
  <c r="M38" i="1"/>
  <c r="P38" i="1" s="1"/>
  <c r="M40" i="1"/>
  <c r="P40" i="1" s="1"/>
  <c r="I5" i="1"/>
  <c r="I9" i="1"/>
  <c r="I13" i="1"/>
  <c r="I6" i="1"/>
  <c r="I10" i="1"/>
  <c r="I16" i="1"/>
  <c r="I21" i="1"/>
  <c r="I25" i="1"/>
  <c r="I29" i="1"/>
  <c r="I7" i="1"/>
  <c r="I11" i="1"/>
  <c r="I18" i="1"/>
  <c r="I22" i="1"/>
  <c r="I26" i="1"/>
  <c r="I30" i="1"/>
  <c r="I8" i="1"/>
  <c r="I12" i="1"/>
  <c r="I19" i="1"/>
  <c r="I23" i="1"/>
  <c r="I27" i="1"/>
  <c r="I31" i="1"/>
  <c r="I20" i="1"/>
  <c r="I24" i="1"/>
  <c r="I28" i="1"/>
  <c r="N10" i="1"/>
  <c r="Q10" i="1" s="1"/>
  <c r="N16" i="1"/>
  <c r="Q16" i="1" s="1"/>
  <c r="N22" i="1"/>
  <c r="Q22" i="1" s="1"/>
  <c r="N25" i="1"/>
  <c r="Q25" i="1" s="1"/>
  <c r="N27" i="1"/>
  <c r="N8" i="1"/>
  <c r="N12" i="1"/>
  <c r="N20" i="1"/>
  <c r="Q20" i="1" s="1"/>
  <c r="N18" i="1"/>
  <c r="Q18" i="1" s="1"/>
  <c r="N24" i="1"/>
  <c r="Q24" i="1" s="1"/>
  <c r="N26" i="1"/>
  <c r="Q26" i="1" s="1"/>
  <c r="K29" i="1"/>
  <c r="N29" i="1" s="1"/>
  <c r="K31" i="1"/>
  <c r="N31" i="1" s="1"/>
  <c r="K28" i="1"/>
  <c r="N28" i="1" s="1"/>
  <c r="Q28" i="1" s="1"/>
  <c r="K30" i="1"/>
  <c r="N30" i="1" s="1"/>
  <c r="M24" i="1"/>
  <c r="P24" i="1" s="1"/>
  <c r="M26" i="1"/>
  <c r="P26" i="1" s="1"/>
  <c r="M25" i="1"/>
  <c r="P25" i="1" s="1"/>
  <c r="M27" i="1"/>
  <c r="P27" i="1" s="1"/>
  <c r="M10" i="1"/>
  <c r="P10" i="1" s="1"/>
  <c r="M16" i="1"/>
  <c r="P16" i="1" s="1"/>
  <c r="M18" i="1"/>
  <c r="P18" i="1" s="1"/>
  <c r="M22" i="1"/>
  <c r="P22" i="1" s="1"/>
  <c r="M8" i="1"/>
  <c r="P8" i="1" s="1"/>
  <c r="M12" i="1"/>
  <c r="P12" i="1" s="1"/>
  <c r="M20" i="1"/>
  <c r="P20" i="1" s="1"/>
  <c r="K9" i="1"/>
  <c r="N9" i="1" s="1"/>
  <c r="K13" i="1"/>
  <c r="N13" i="1" s="1"/>
  <c r="K21" i="1"/>
  <c r="N21" i="1" s="1"/>
  <c r="Q21" i="1" s="1"/>
  <c r="K7" i="1"/>
  <c r="N7" i="1" s="1"/>
  <c r="K11" i="1"/>
  <c r="N11" i="1" s="1"/>
  <c r="Q11" i="1" s="1"/>
  <c r="K19" i="1"/>
  <c r="N19" i="1" s="1"/>
  <c r="K23" i="1"/>
  <c r="N23" i="1" s="1"/>
  <c r="B3" i="4"/>
  <c r="R38" i="1" l="1"/>
  <c r="Q38" i="1"/>
  <c r="R35" i="1"/>
  <c r="Q35" i="1"/>
  <c r="R39" i="1"/>
  <c r="Q39" i="1"/>
  <c r="R40" i="1"/>
  <c r="Q40" i="1"/>
  <c r="R34" i="1"/>
  <c r="Q34" i="1"/>
  <c r="R37" i="1"/>
  <c r="Q37" i="1"/>
  <c r="R36" i="1"/>
  <c r="Q36" i="1"/>
  <c r="R41" i="1"/>
  <c r="Q41" i="1"/>
  <c r="R26" i="1"/>
  <c r="R16" i="1"/>
  <c r="Q30" i="1"/>
  <c r="R30" i="1"/>
  <c r="Q31" i="1"/>
  <c r="R31" i="1"/>
  <c r="Q23" i="1"/>
  <c r="R23" i="1"/>
  <c r="Q13" i="1"/>
  <c r="R13" i="1"/>
  <c r="Q7" i="1"/>
  <c r="R7" i="1"/>
  <c r="Q19" i="1"/>
  <c r="R19" i="1"/>
  <c r="Q9" i="1"/>
  <c r="R9" i="1"/>
  <c r="Q29" i="1"/>
  <c r="R29" i="1"/>
  <c r="Q12" i="1"/>
  <c r="R12" i="1"/>
  <c r="R18" i="1"/>
  <c r="R10" i="1"/>
  <c r="R28" i="1"/>
  <c r="Q8" i="1"/>
  <c r="R8" i="1"/>
  <c r="R11" i="1"/>
  <c r="Q27" i="1"/>
  <c r="R27" i="1"/>
  <c r="R25" i="1"/>
  <c r="R20" i="1"/>
  <c r="R21" i="1"/>
  <c r="R24" i="1"/>
  <c r="R22" i="1"/>
  <c r="E6" i="1" l="1"/>
  <c r="M6" i="1" s="1"/>
  <c r="P6" i="1" s="1"/>
  <c r="E5" i="1"/>
  <c r="M5" i="1" s="1"/>
  <c r="P5" i="1" s="1"/>
  <c r="B6" i="4"/>
  <c r="K5" i="1" l="1"/>
  <c r="N5" i="1" s="1"/>
  <c r="K6" i="1"/>
  <c r="N6" i="1" s="1"/>
  <c r="Q6" i="1" l="1"/>
  <c r="R6" i="1"/>
  <c r="Q5" i="1"/>
  <c r="R5" i="1"/>
  <c r="B10" i="4"/>
  <c r="B18" i="4"/>
</calcChain>
</file>

<file path=xl/sharedStrings.xml><?xml version="1.0" encoding="utf-8"?>
<sst xmlns="http://schemas.openxmlformats.org/spreadsheetml/2006/main" count="450" uniqueCount="274">
  <si>
    <t>キーワード</t>
    <phoneticPr fontId="1"/>
  </si>
  <si>
    <t>TITLE</t>
  </si>
  <si>
    <t>TASK_LEVEL1</t>
  </si>
  <si>
    <t>英名</t>
    <rPh sb="0" eb="2">
      <t>エイメイ</t>
    </rPh>
    <phoneticPr fontId="1"/>
  </si>
  <si>
    <t>列/行</t>
    <rPh sb="0" eb="1">
      <t>レツ</t>
    </rPh>
    <rPh sb="2" eb="3">
      <t>ギョウ</t>
    </rPh>
    <phoneticPr fontId="1"/>
  </si>
  <si>
    <t>列</t>
  </si>
  <si>
    <t>列</t>
    <rPh sb="0" eb="1">
      <t>レツ</t>
    </rPh>
    <phoneticPr fontId="1"/>
  </si>
  <si>
    <t>行</t>
    <rPh sb="0" eb="1">
      <t>ギョウ</t>
    </rPh>
    <phoneticPr fontId="1"/>
  </si>
  <si>
    <t>Const 定義</t>
    <rPh sb="6" eb="8">
      <t>テイギ</t>
    </rPh>
    <phoneticPr fontId="1"/>
  </si>
  <si>
    <t>和名</t>
    <rPh sb="0" eb="2">
      <t>ワメイ</t>
    </rPh>
    <phoneticPr fontId="1"/>
  </si>
  <si>
    <t>シート名</t>
    <rPh sb="3" eb="4">
      <t>メイ</t>
    </rPh>
    <phoneticPr fontId="1"/>
  </si>
  <si>
    <t>時間管理</t>
    <rPh sb="0" eb="2">
      <t>ジカン</t>
    </rPh>
    <rPh sb="2" eb="4">
      <t>カンリ</t>
    </rPh>
    <phoneticPr fontId="1"/>
  </si>
  <si>
    <t>DATE_STRT</t>
  </si>
  <si>
    <t>DATE_LAST</t>
  </si>
  <si>
    <t>STYLE_WEEK</t>
  </si>
  <si>
    <t>STYLE_HOLI_HALF</t>
  </si>
  <si>
    <t>STYLE_HOLI_ALL</t>
  </si>
  <si>
    <t>TASK_CATE</t>
  </si>
  <si>
    <t>TASK_LEVEL2</t>
  </si>
  <si>
    <t>TASK_LEVEL3</t>
  </si>
  <si>
    <t>SHEDORRSLT</t>
  </si>
  <si>
    <t>TIME_TOTAL</t>
  </si>
  <si>
    <t>HOLI_TYPE</t>
  </si>
  <si>
    <t>DATE</t>
  </si>
  <si>
    <t>TASK_STRT</t>
  </si>
  <si>
    <t>TASK_LAST</t>
  </si>
  <si>
    <t>略称</t>
    <rPh sb="0" eb="2">
      <t>リャクショウ</t>
    </rPh>
    <phoneticPr fontId="1"/>
  </si>
  <si>
    <t>Type定義</t>
    <rPh sb="4" eb="6">
      <t>テイギ</t>
    </rPh>
    <phoneticPr fontId="1"/>
  </si>
  <si>
    <t>格納処理</t>
    <rPh sb="0" eb="2">
      <t>カクノウ</t>
    </rPh>
    <rPh sb="2" eb="4">
      <t>ショリ</t>
    </rPh>
    <phoneticPr fontId="1"/>
  </si>
  <si>
    <t>総時間</t>
  </si>
  <si>
    <t>総時間</t>
    <phoneticPr fontId="1"/>
  </si>
  <si>
    <t>TIMETOTAL</t>
    <phoneticPr fontId="1"/>
  </si>
  <si>
    <t>TASK_CAT</t>
    <phoneticPr fontId="1"/>
  </si>
  <si>
    <t>TASK_LV1</t>
    <phoneticPr fontId="1"/>
  </si>
  <si>
    <t>TASK_LV2</t>
    <phoneticPr fontId="1"/>
  </si>
  <si>
    <t>TASK_LV3</t>
    <phoneticPr fontId="1"/>
  </si>
  <si>
    <t>TIMEAVE</t>
    <phoneticPr fontId="1"/>
  </si>
  <si>
    <t>休日一覧</t>
  </si>
  <si>
    <t>休日一覧</t>
    <phoneticPr fontId="1"/>
  </si>
  <si>
    <t>作業列</t>
    <rPh sb="0" eb="2">
      <t>サギョウ</t>
    </rPh>
    <rPh sb="2" eb="3">
      <t>レツ</t>
    </rPh>
    <phoneticPr fontId="1"/>
  </si>
  <si>
    <t>ソースコード</t>
    <phoneticPr fontId="1"/>
  </si>
  <si>
    <t>Const定義</t>
    <rPh sb="5" eb="7">
      <t>テイギ</t>
    </rPh>
    <phoneticPr fontId="1"/>
  </si>
  <si>
    <t>総時間</t>
    <phoneticPr fontId="1"/>
  </si>
  <si>
    <t>ソースコード</t>
    <phoneticPr fontId="1"/>
  </si>
  <si>
    <t>入力列</t>
    <rPh sb="0" eb="2">
      <t>ニュウリョク</t>
    </rPh>
    <rPh sb="2" eb="3">
      <t>レツ</t>
    </rPh>
    <phoneticPr fontId="1"/>
  </si>
  <si>
    <t xml:space="preserve"> </t>
    <phoneticPr fontId="1"/>
  </si>
  <si>
    <t>End Type</t>
  </si>
  <si>
    <t>'シート名定義</t>
  </si>
  <si>
    <t>'行列名定義</t>
  </si>
  <si>
    <t>'行列構造体型定義</t>
  </si>
  <si>
    <t>Public Type T_CLMROWINFO</t>
  </si>
  <si>
    <t>'行列構造体定義</t>
  </si>
  <si>
    <t>Public gtCRInfo As T_CLMROWINFO</t>
  </si>
  <si>
    <t>'行列情報取得処理</t>
  </si>
  <si>
    <t>Public Function GetClmRowInfo()</t>
  </si>
  <si>
    <t>End Function</t>
  </si>
  <si>
    <t>HOLI_STRT</t>
    <phoneticPr fontId="1"/>
  </si>
  <si>
    <t>HOLI_LAST</t>
    <phoneticPr fontId="1"/>
  </si>
  <si>
    <t>TYPE</t>
    <phoneticPr fontId="1"/>
  </si>
  <si>
    <t>CATE</t>
    <phoneticPr fontId="1"/>
  </si>
  <si>
    <t>CONTEXT</t>
    <phoneticPr fontId="1"/>
  </si>
  <si>
    <t>版数</t>
    <rPh sb="0" eb="2">
      <t>ハンスウ</t>
    </rPh>
    <phoneticPr fontId="1"/>
  </si>
  <si>
    <t>日付</t>
    <rPh sb="0" eb="2">
      <t>ヒヅケ</t>
    </rPh>
    <phoneticPr fontId="1"/>
  </si>
  <si>
    <t>担当</t>
    <rPh sb="0" eb="2">
      <t>タントウ</t>
    </rPh>
    <phoneticPr fontId="1"/>
  </si>
  <si>
    <t>内容</t>
    <rPh sb="0" eb="2">
      <t>ナイヨウ</t>
    </rPh>
    <phoneticPr fontId="1"/>
  </si>
  <si>
    <t>1.0.0</t>
    <phoneticPr fontId="1"/>
  </si>
  <si>
    <t>遠藤</t>
    <rPh sb="0" eb="2">
      <t>エンドウ</t>
    </rPh>
    <phoneticPr fontId="1"/>
  </si>
  <si>
    <t>初版作成</t>
    <rPh sb="0" eb="2">
      <t>ショハン</t>
    </rPh>
    <rPh sb="2" eb="4">
      <t>サクセイ</t>
    </rPh>
    <phoneticPr fontId="1"/>
  </si>
  <si>
    <t xml:space="preserve"> </t>
    <phoneticPr fontId="1"/>
  </si>
  <si>
    <t>以下関数実装
・ConvSnakeToPascal
・ConcStr</t>
    <rPh sb="0" eb="2">
      <t>イカ</t>
    </rPh>
    <rPh sb="2" eb="4">
      <t>カンスウ</t>
    </rPh>
    <rPh sb="4" eb="6">
      <t>ジッソウ</t>
    </rPh>
    <phoneticPr fontId="1"/>
  </si>
  <si>
    <t>1.0.1</t>
    <phoneticPr fontId="1"/>
  </si>
  <si>
    <t>遠藤</t>
    <rPh sb="0" eb="2">
      <t>エンドウ</t>
    </rPh>
    <phoneticPr fontId="1"/>
  </si>
  <si>
    <t>TIMECNT</t>
    <phoneticPr fontId="1"/>
  </si>
  <si>
    <t>TIMECNT</t>
    <phoneticPr fontId="1"/>
  </si>
  <si>
    <t>PROGRESS</t>
    <phoneticPr fontId="1"/>
  </si>
  <si>
    <t>TMM</t>
    <phoneticPr fontId="1"/>
  </si>
  <si>
    <t>TMT</t>
    <phoneticPr fontId="1"/>
  </si>
  <si>
    <t>HLD</t>
    <phoneticPr fontId="1"/>
  </si>
  <si>
    <t>日付開始</t>
  </si>
  <si>
    <t>日付終了</t>
  </si>
  <si>
    <t>平日書式</t>
  </si>
  <si>
    <t>半休書式</t>
  </si>
  <si>
    <t>全休書式</t>
  </si>
  <si>
    <t>タスク_カテゴリ</t>
  </si>
  <si>
    <t>タスク_レベル１</t>
  </si>
  <si>
    <t>タスク_レベル２</t>
  </si>
  <si>
    <t>タスク_レベル３</t>
  </si>
  <si>
    <t>件数</t>
  </si>
  <si>
    <t>進捗</t>
  </si>
  <si>
    <t>予実</t>
  </si>
  <si>
    <t>合計</t>
  </si>
  <si>
    <t>タスクカテゴリ</t>
  </si>
  <si>
    <t>タスクレベル１</t>
  </si>
  <si>
    <t>タスクレベル２</t>
  </si>
  <si>
    <t>タスクレベル３</t>
  </si>
  <si>
    <t>平均</t>
  </si>
  <si>
    <t>日付</t>
  </si>
  <si>
    <t>種別</t>
  </si>
  <si>
    <t>カテゴリ</t>
  </si>
  <si>
    <t>説明</t>
  </si>
  <si>
    <t>休日種別</t>
  </si>
  <si>
    <t>タイトル</t>
  </si>
  <si>
    <t>タスク開始</t>
  </si>
  <si>
    <t>タスク終了</t>
  </si>
  <si>
    <t>休日開始</t>
  </si>
  <si>
    <t>休日終了</t>
  </si>
  <si>
    <t>TIME_MANAGE</t>
    <phoneticPr fontId="1"/>
  </si>
  <si>
    <t>TIME_TOTAL</t>
    <phoneticPr fontId="1"/>
  </si>
  <si>
    <t>HOLIDAY_LIST</t>
    <phoneticPr fontId="1"/>
  </si>
  <si>
    <t>Option Explicit</t>
  </si>
  <si>
    <t>'*****************************</t>
  </si>
  <si>
    <t>'* キーワード情報</t>
  </si>
  <si>
    <t>Private Const SHT_NAME_TIMEMANAGE As String = "時間管理"</t>
  </si>
  <si>
    <t>Private Const SHT_NAME_TIMETOTAL As String = "総時間"</t>
  </si>
  <si>
    <t>Private Const SHT_NAME_HOLIDAYLIST As String = "休日一覧"</t>
  </si>
  <si>
    <t xml:space="preserve"> </t>
  </si>
  <si>
    <t>Private Const KWD_TM_CLM_DATE_STRT As String = "列_日付開始"</t>
  </si>
  <si>
    <t>Private Const KWD_TM_CLM_DATE_LAST As String = "列_日付終了"</t>
  </si>
  <si>
    <t>Private Const KWD_TM_CLM_STYLE_WEEK As String = "列_平日書式"</t>
  </si>
  <si>
    <t>Private Const KWD_TM_CLM_STYLE_HOLI_HALF As String = "列_半休書式"</t>
  </si>
  <si>
    <t>Private Const KWD_TM_CLM_STYLE_HOLI_ALL As String = "列_全休書式"</t>
  </si>
  <si>
    <t>Private Const KWD_TM_CLM_TASK_CATE As String = "列_タスク_カテゴリ"</t>
  </si>
  <si>
    <t>Private Const KWD_TM_CLM_TASK_LEVEL1 As String = "列_タスク_レベル１"</t>
  </si>
  <si>
    <t>Private Const KWD_TM_CLM_TASK_LEVEL2 As String = "列_タスク_レベル２"</t>
  </si>
  <si>
    <t>Private Const KWD_TM_CLM_TASK_LEVEL3 As String = "列_タスク_レベル３"</t>
  </si>
  <si>
    <t>Private Const KWD_TM_CLM_TIMECNT As String = "列_件数"</t>
  </si>
  <si>
    <t>Private Const KWD_TM_CLM_PROGRESS As String = "列_進捗"</t>
  </si>
  <si>
    <t>Private Const KWD_TM_CLM_SHEDORRSLT As String = "列_予実"</t>
  </si>
  <si>
    <t>Private Const KWD_TM_CLM_TIME_TOTAL As String = "列_合計"</t>
  </si>
  <si>
    <t>Private Const KWD_TM_ROW_HOLI_TYPE As String = "行_休日種別"</t>
  </si>
  <si>
    <t>Private Const KWD_TM_ROW_DATE As String = "行_日付"</t>
  </si>
  <si>
    <t>Private Const KWD_TM_ROW_TITLE As String = "行_タイトル"</t>
  </si>
  <si>
    <t>Private Const KWD_TM_ROW_TIME_TOTAL As String = "行_合計"</t>
  </si>
  <si>
    <t>Private Const KWD_TM_ROW_TASK_STRT As String = "行_タスク開始"</t>
  </si>
  <si>
    <t>Private Const KWD_TM_ROW_TASK_LAST As String = "行_タスク終了"</t>
  </si>
  <si>
    <t>Private Const KWD_TT_CLM_TASK_CAT As String = "列_タスクカテゴリ"</t>
  </si>
  <si>
    <t>Private Const KWD_TT_CLM_TASK_LV1 As String = "列_タスクレベル１"</t>
  </si>
  <si>
    <t>Private Const KWD_TT_CLM_TASK_LV2 As String = "列_タスクレベル２"</t>
  </si>
  <si>
    <t>Private Const KWD_TT_CLM_TASK_LV3 As String = "列_タスクレベル３"</t>
  </si>
  <si>
    <t>Private Const KWD_TT_CLM_SHEDORRSLT As String = "列_予実"</t>
  </si>
  <si>
    <t>Private Const KWD_TT_CLM_TIMETOTAL As String = "列_合計"</t>
  </si>
  <si>
    <t>Private Const KWD_TT_CLM_TIMEAVE As String = "列_平均"</t>
  </si>
  <si>
    <t>Private Const KWD_TT_CLM_TIMECNT As String = "列_件数"</t>
  </si>
  <si>
    <t>Private Const KWD_TT_ROW_TITLE As String = "行_タイトル"</t>
  </si>
  <si>
    <t>Private Const KWD_TT_ROW_TASK_STRT As String = "行_タスク開始"</t>
  </si>
  <si>
    <t>Private Const KWD_TT_ROW_TASK_LAST As String = "行_タスク終了"</t>
  </si>
  <si>
    <t>Private Const KWD_HL_ROW_TITLE As String = "行_タイトル"</t>
  </si>
  <si>
    <t>Private Const KWD_HL_ROW_HOLI_STRT As String = "行_休日開始"</t>
  </si>
  <si>
    <t>Private Const KWD_HL_ROW_HOLI_LAST As String = "行_休日終了"</t>
  </si>
  <si>
    <t>Private Const KWD_HL_CLM_DATE As String = "列_日付"</t>
  </si>
  <si>
    <t>Private Const KWD_HL_CLM_TYPE As String = "列_種別"</t>
  </si>
  <si>
    <t>Private Const KWD_HL_CLM_CATE As String = "列_カテゴリ"</t>
  </si>
  <si>
    <t>Private Const KWD_HL_CLM_CONTEXT As String = "列_説明"</t>
  </si>
  <si>
    <t>'* 行列情報</t>
  </si>
  <si>
    <t>'### TM ###</t>
  </si>
  <si>
    <t>Private Type T_TMROW</t>
  </si>
  <si>
    <t xml:space="preserve">    lHoliType As Long</t>
  </si>
  <si>
    <t xml:space="preserve">    lDate As Long</t>
  </si>
  <si>
    <t xml:space="preserve">    lTitle As Long</t>
  </si>
  <si>
    <t xml:space="preserve">    lTimetotal As Long</t>
  </si>
  <si>
    <t xml:space="preserve">    lTaskStrt As Long</t>
  </si>
  <si>
    <t xml:space="preserve">    lTaskLast As Long</t>
  </si>
  <si>
    <t>Private Type T_TMCLM</t>
  </si>
  <si>
    <t xml:space="preserve">    lDateStrt As Long</t>
  </si>
  <si>
    <t xml:space="preserve">    lDateLast As Long</t>
  </si>
  <si>
    <t xml:space="preserve">    lStyleWeek As Long</t>
  </si>
  <si>
    <t xml:space="preserve">    lStyleHoliHalf As Long</t>
  </si>
  <si>
    <t xml:space="preserve">    lStyleHoliAll As Long</t>
  </si>
  <si>
    <t xml:space="preserve">    lTaskCate As Long</t>
  </si>
  <si>
    <t xml:space="preserve">    lTaskLevel1 As Long</t>
  </si>
  <si>
    <t xml:space="preserve">    lTaskLevel2 As Long</t>
  </si>
  <si>
    <t xml:space="preserve">    lTaskLevel3 As Long</t>
  </si>
  <si>
    <t xml:space="preserve">    lTimecnt As Long</t>
  </si>
  <si>
    <t xml:space="preserve">    lProgress As Long</t>
  </si>
  <si>
    <t xml:space="preserve">    lShedorrslt As Long</t>
  </si>
  <si>
    <t>Private Type T_TMROWCLM</t>
  </si>
  <si>
    <t xml:space="preserve">    Row As T_TMROW</t>
  </si>
  <si>
    <t xml:space="preserve">    Clm As T_TMCLM</t>
  </si>
  <si>
    <t>'### TT ###</t>
  </si>
  <si>
    <t>Private Type T_TTROW</t>
  </si>
  <si>
    <t>Private Type T_TTCLM</t>
  </si>
  <si>
    <t xml:space="preserve">    lTaskCat As Long</t>
  </si>
  <si>
    <t xml:space="preserve">    lTaskLv1 As Long</t>
  </si>
  <si>
    <t xml:space="preserve">    lTaskLv2 As Long</t>
  </si>
  <si>
    <t xml:space="preserve">    lTaskLv3 As Long</t>
  </si>
  <si>
    <t xml:space="preserve">    lTimeave As Long</t>
  </si>
  <si>
    <t>Private Type T_TTROWCLM</t>
  </si>
  <si>
    <t xml:space="preserve">    Row As T_TTROW</t>
  </si>
  <si>
    <t xml:space="preserve">    Clm As T_TTCLM</t>
  </si>
  <si>
    <t>'### HL ###</t>
  </si>
  <si>
    <t>Private Type T_HLROW</t>
  </si>
  <si>
    <t xml:space="preserve">    lHoliStrt As Long</t>
  </si>
  <si>
    <t xml:space="preserve">    lHoliLast As Long</t>
  </si>
  <si>
    <t>Private Type T_HLCLM</t>
  </si>
  <si>
    <t xml:space="preserve">    lType As Long</t>
  </si>
  <si>
    <t xml:space="preserve">    lCate As Long</t>
  </si>
  <si>
    <t xml:space="preserve">    lContext As Long</t>
  </si>
  <si>
    <t>Private Type T_HLROWCLM</t>
  </si>
  <si>
    <t xml:space="preserve">    Row As T_HLROW</t>
  </si>
  <si>
    <t xml:space="preserve">    Clm As T_HLCLM</t>
  </si>
  <si>
    <t>'* シート情報</t>
  </si>
  <si>
    <t>Private Type T_SHT</t>
  </si>
  <si>
    <t xml:space="preserve">    ShTm As T_TMROWCLM</t>
  </si>
  <si>
    <t xml:space="preserve">    ShTt As T_TTROWCLM</t>
  </si>
  <si>
    <t xml:space="preserve">    ShHl As T_HLROWCLM</t>
  </si>
  <si>
    <t>'* 構造体定義</t>
  </si>
  <si>
    <t>Public gtPos As T_SHT</t>
  </si>
  <si>
    <t>'* 行列位置情報取得処理</t>
  </si>
  <si>
    <t>Public Function GetPosInfo()</t>
  </si>
  <si>
    <t>Private gbIsError As Boolean</t>
  </si>
  <si>
    <t xml:space="preserve">    gbIsError = False</t>
  </si>
  <si>
    <t xml:space="preserve">    </t>
  </si>
  <si>
    <t xml:space="preserve">    Debug.Print ""</t>
  </si>
  <si>
    <t xml:space="preserve">    Debug.Print "*** GetPosInfo() 実行 ***"</t>
  </si>
  <si>
    <t xml:space="preserve">    Debug.Print "実行日時：" &amp; Now()</t>
  </si>
  <si>
    <t xml:space="preserve">    On Error Resume Next</t>
  </si>
  <si>
    <t xml:space="preserve">    gtPos.ShTm.Clm.lShedorrslt = GetPos(SHT_NAME_TIMEMANAGE, KWD_TM_CLM_SHEDORRSLT, "Column")</t>
  </si>
  <si>
    <t xml:space="preserve">    gtPos.ShTm.Clm.lDateLast = GetPos(SHT_NAME_TIMEMANAGE, KWD_TM_CLM_DATE_LAST, "Column")</t>
  </si>
  <si>
    <t xml:space="preserve">    gtPos.ShTm.Row.lHoliType = GetPos(SHT_NAME_TIMEMANAGE, KWD_TM_ROW_HOLI_TYPE, "Row")</t>
  </si>
  <si>
    <t xml:space="preserve">    gtPos.ShTm.Row.lTitle = GetPos(SHT_NAME_TIMEMANAGE, "行_AAA", "Row")</t>
  </si>
  <si>
    <t xml:space="preserve">    gtPos.ShTm.Row.lTitle = GetPos(SHT_NAME_TIMEMANAGE, "AAA", "Row")</t>
  </si>
  <si>
    <t xml:space="preserve">    On Error GoTo 0</t>
  </si>
  <si>
    <t xml:space="preserve">    If gbIsError = True Then</t>
  </si>
  <si>
    <t xml:space="preserve">        'GetPosInfo()にてエラーが発生しました。</t>
  </si>
  <si>
    <t xml:space="preserve">        'イミディエイトウィンドウをご確認ください。</t>
  </si>
  <si>
    <t xml:space="preserve">        Debug.Assert 0</t>
  </si>
  <si>
    <t xml:space="preserve">    Else</t>
  </si>
  <si>
    <t xml:space="preserve">        'Do Nothing</t>
  </si>
  <si>
    <t xml:space="preserve">    End If</t>
  </si>
  <si>
    <t>Private Function GetPos( _</t>
  </si>
  <si>
    <t xml:space="preserve">    ByVal sSheetName As String, _</t>
  </si>
  <si>
    <t xml:space="preserve">    ByVal sKeyword As String, _</t>
  </si>
  <si>
    <t xml:space="preserve">    ByVal sRowClmType As String _</t>
  </si>
  <si>
    <t>) As Long</t>
  </si>
  <si>
    <t xml:space="preserve">    Dim rGetCell As Range</t>
  </si>
  <si>
    <t xml:space="preserve">    Set rGetCell = ThisWorkbook.Sheets(sSheetName).Cells.Find(sKeyword, LookAt:=xlWhole)</t>
  </si>
  <si>
    <t xml:space="preserve">    If Err.Number = 0 Then</t>
  </si>
  <si>
    <t xml:space="preserve">        If rGetCell Is Nothing Then</t>
  </si>
  <si>
    <t xml:space="preserve">            Debug.Print "エラー：キーワード情報のセルが見つかりませんでした"</t>
  </si>
  <si>
    <t xml:space="preserve">            Debug.Print "  Sheet   : " &amp; sSheetName</t>
  </si>
  <si>
    <t xml:space="preserve">            Debug.Print "  Keyword : " &amp; sKeyword</t>
  </si>
  <si>
    <t xml:space="preserve">            Debug.Print "  PosType : " &amp; sRowClmType</t>
  </si>
  <si>
    <t xml:space="preserve">            gbIsError = True</t>
  </si>
  <si>
    <t xml:space="preserve">        Else</t>
  </si>
  <si>
    <t xml:space="preserve">            Dim lGetPos As Long</t>
  </si>
  <si>
    <t xml:space="preserve">            Dim lChkPos As Long</t>
  </si>
  <si>
    <t xml:space="preserve">            If sRowClmType = "Row" Then</t>
  </si>
  <si>
    <t xml:space="preserve">                lGetPos = rGetCell.Row</t>
  </si>
  <si>
    <t xml:space="preserve">                lChkPos = rGetCell.Column</t>
  </si>
  <si>
    <t xml:space="preserve">            ElseIf sRowClmType = "Column" Then</t>
  </si>
  <si>
    <t xml:space="preserve">                lGetPos = rGetCell.Column</t>
  </si>
  <si>
    <t xml:space="preserve">                lChkPos = rGetCell.Row</t>
  </si>
  <si>
    <t xml:space="preserve">            Else</t>
  </si>
  <si>
    <t xml:space="preserve">                Debug.Assert 0</t>
  </si>
  <si>
    <t xml:space="preserve">            End If</t>
  </si>
  <si>
    <t xml:space="preserve">            </t>
  </si>
  <si>
    <t xml:space="preserve">            If lChkPos = 1 Then</t>
  </si>
  <si>
    <t xml:space="preserve">                'Do Nothing</t>
  </si>
  <si>
    <t xml:space="preserve">                Debug.Print "エラー：行列取得対象列以外の行/列番号が取得されました"</t>
  </si>
  <si>
    <t xml:space="preserve">                Debug.Print "  Sheet   : " &amp; sSheetName</t>
  </si>
  <si>
    <t xml:space="preserve">                Debug.Print "  Keyword : " &amp; sKeyword</t>
  </si>
  <si>
    <t xml:space="preserve">                Debug.Print "  PosType : " &amp; sRowClmType</t>
  </si>
  <si>
    <t xml:space="preserve">                Debug.Print "  GetPos  : " &amp; lGetPos</t>
  </si>
  <si>
    <t xml:space="preserve">                Debug.Print "  ChkPos  : " &amp; lChkPos</t>
  </si>
  <si>
    <t xml:space="preserve">                gbIsError = True</t>
  </si>
  <si>
    <t xml:space="preserve">        End If</t>
  </si>
  <si>
    <t xml:space="preserve">        Debug.Print "エラー：キーワード情報のセルが見つかりませんでした"</t>
  </si>
  <si>
    <t xml:space="preserve">        Debug.Print "  Sheet           : " &amp; sSheetName</t>
  </si>
  <si>
    <t xml:space="preserve">        Debug.Print "  Keyword         : " &amp; sKeyword</t>
  </si>
  <si>
    <t xml:space="preserve">        Debug.Print "  Err.Number      : " &amp; Err.Number</t>
  </si>
  <si>
    <t xml:space="preserve">        Debug.Print "  Err.Description : " &amp; Err.Description</t>
  </si>
  <si>
    <t xml:space="preserve">        Err.Clear</t>
  </si>
  <si>
    <t xml:space="preserve">        gbIsError = True</t>
  </si>
  <si>
    <t xml:space="preserve">    GetPos = lGetPos</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</si>
</sst>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ＭＳ Ｐゴシック"/>
      <family val="2"/>
      <charset val="128"/>
      <scheme val="minor"/>
    </font>
    <font>
      <sz val="6"/>
      <name val="ＭＳ Ｐゴシック"/>
      <family val="2"/>
      <charset val="128"/>
      <scheme val="minor"/>
    </font>
    <font>
      <sz val="11"/>
      <color theme="1"/>
      <name val="ＭＳ ゴシック"/>
      <family val="3"/>
      <charset val="128"/>
    </font>
    <font>
      <b/>
      <sz val="11"/>
      <color theme="1"/>
      <name val="ＭＳ ゴシック"/>
      <family val="3"/>
      <charset val="128"/>
    </font>
    <font>
      <b/>
      <sz val="11"/>
      <color theme="1"/>
      <name val="ＭＳ Ｐゴシック"/>
      <family val="3"/>
      <charset val="128"/>
      <scheme val="minor"/>
    </font>
    <font>
      <sz val="9"/>
      <color theme="1"/>
      <name val="ＭＳ ゴシック"/>
      <family val="3"/>
      <charset val="128"/>
    </font>
  </fonts>
  <fills count="5">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theme="8" tint="0.7999816888943144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alignment vertical="center"/>
    </xf>
  </cellStyleXfs>
  <cellXfs count="29">
    <xf numFmtId="0" fontId="0" fillId="0" borderId="0" xfId="0">
      <alignment vertical="center"/>
    </xf>
    <xf numFmtId="0" fontId="2" fillId="0" borderId="0" xfId="0" applyFont="1">
      <alignment vertical="center"/>
    </xf>
    <xf numFmtId="0" fontId="2" fillId="2" borderId="0" xfId="0" applyFont="1" applyFill="1">
      <alignment vertical="center"/>
    </xf>
    <xf numFmtId="0" fontId="2" fillId="0" borderId="1" xfId="0" applyFont="1" applyBorder="1">
      <alignment vertical="center"/>
    </xf>
    <xf numFmtId="0" fontId="2" fillId="0" borderId="1" xfId="0" applyFont="1" applyBorder="1" applyAlignment="1">
      <alignment horizontal="center" vertical="center"/>
    </xf>
    <xf numFmtId="0" fontId="2" fillId="2" borderId="1" xfId="0" applyFont="1" applyFill="1" applyBorder="1">
      <alignment vertical="center"/>
    </xf>
    <xf numFmtId="0" fontId="3" fillId="4" borderId="1" xfId="0" applyFont="1" applyFill="1" applyBorder="1" applyAlignment="1">
      <alignment horizontal="centerContinuous" vertical="center"/>
    </xf>
    <xf numFmtId="0" fontId="3" fillId="2" borderId="1" xfId="0" applyFont="1" applyFill="1" applyBorder="1" applyAlignment="1">
      <alignment horizontal="centerContinuous" vertical="center"/>
    </xf>
    <xf numFmtId="0" fontId="3" fillId="4" borderId="1" xfId="0" applyFont="1" applyFill="1" applyBorder="1" applyAlignment="1">
      <alignment horizontal="center" vertical="center"/>
    </xf>
    <xf numFmtId="0" fontId="3" fillId="2" borderId="1" xfId="0" applyFont="1" applyFill="1" applyBorder="1" applyAlignment="1">
      <alignment horizontal="center" vertical="center"/>
    </xf>
    <xf numFmtId="0" fontId="2" fillId="0" borderId="0" xfId="0" applyFont="1" applyAlignment="1">
      <alignment horizontal="center" vertical="center"/>
    </xf>
    <xf numFmtId="0" fontId="3" fillId="0" borderId="0" xfId="0" applyFont="1">
      <alignment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Continuous" vertical="center"/>
    </xf>
    <xf numFmtId="0" fontId="3" fillId="4" borderId="3" xfId="0" applyFont="1" applyFill="1" applyBorder="1" applyAlignment="1">
      <alignment horizontal="center" vertical="center"/>
    </xf>
    <xf numFmtId="0" fontId="3" fillId="2" borderId="3" xfId="0" applyFont="1" applyFill="1" applyBorder="1" applyAlignment="1">
      <alignment horizontal="center" vertical="center"/>
    </xf>
    <xf numFmtId="0" fontId="3" fillId="0" borderId="0" xfId="0" applyFont="1" applyAlignment="1">
      <alignment horizontal="center" vertical="center"/>
    </xf>
    <xf numFmtId="0" fontId="2" fillId="0" borderId="4" xfId="0" applyFont="1" applyBorder="1">
      <alignment vertical="center"/>
    </xf>
    <xf numFmtId="0" fontId="2" fillId="0" borderId="5" xfId="0" applyFont="1" applyBorder="1">
      <alignment vertical="center"/>
    </xf>
    <xf numFmtId="0" fontId="2" fillId="0" borderId="6" xfId="0" applyFont="1" applyBorder="1">
      <alignment vertical="center"/>
    </xf>
    <xf numFmtId="0" fontId="0" fillId="0" borderId="0" xfId="0"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0" borderId="1" xfId="0" applyBorder="1">
      <alignment vertical="center"/>
    </xf>
    <xf numFmtId="0" fontId="4" fillId="4" borderId="1" xfId="0" applyFont="1" applyFill="1" applyBorder="1" applyAlignment="1">
      <alignment horizontal="center" vertical="center"/>
    </xf>
    <xf numFmtId="0" fontId="0" fillId="0" borderId="1" xfId="0" applyBorder="1" applyAlignment="1">
      <alignment vertical="center" wrapText="1"/>
    </xf>
    <xf numFmtId="0" fontId="2" fillId="3" borderId="0" xfId="0" applyFont="1" applyFill="1">
      <alignment vertical="center"/>
    </xf>
    <xf numFmtId="0" fontId="2" fillId="3" borderId="0" xfId="0" applyFont="1" applyFill="1" applyAlignment="1">
      <alignment horizontal="center" vertical="center"/>
    </xf>
    <xf numFmtId="0" fontId="5" fillId="0" borderId="0" xfId="0" applyNumberFormat="1" applyFont="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draem_000/AppData/Roaming/Microsoft/AddIns/UserDefFuncs.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concstr"/>
      <definedName name="ConvSnakeToPascal"/>
    </definedNames>
    <sheetDataSet>
      <sheetData sheetId="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7"/>
  <sheetViews>
    <sheetView showGridLines="0" workbookViewId="0">
      <pane xSplit="3" ySplit="3" topLeftCell="D4" activePane="bottomRight" state="frozen"/>
      <selection pane="topRight" activeCell="D1" sqref="D1"/>
      <selection pane="bottomLeft" activeCell="A4" sqref="A4"/>
      <selection pane="bottomRight"/>
    </sheetView>
  </sheetViews>
  <sheetFormatPr defaultRowHeight="13.2" x14ac:dyDescent="0.2"/>
  <cols>
    <col min="1" max="1" width="9.5546875" style="1" bestFit="1" customWidth="1"/>
    <col min="2" max="2" width="12.77734375" style="1" bestFit="1" customWidth="1"/>
    <col min="3" max="3" width="5.5546875" style="1" bestFit="1" customWidth="1"/>
    <col min="4" max="4" width="5.5546875" style="1" customWidth="1"/>
    <col min="5" max="5" width="8.88671875" style="1"/>
    <col min="6" max="6" width="62.21875" style="1" bestFit="1" customWidth="1"/>
    <col min="7" max="16384" width="8.88671875" style="1"/>
  </cols>
  <sheetData>
    <row r="1" spans="1:6" x14ac:dyDescent="0.2">
      <c r="A1" s="6" t="s">
        <v>10</v>
      </c>
      <c r="B1" s="6"/>
      <c r="C1" s="6"/>
      <c r="D1" s="7" t="s">
        <v>39</v>
      </c>
      <c r="E1" s="7"/>
      <c r="F1" s="7" t="s">
        <v>40</v>
      </c>
    </row>
    <row r="2" spans="1:6" x14ac:dyDescent="0.2">
      <c r="A2" s="8" t="s">
        <v>9</v>
      </c>
      <c r="B2" s="8" t="s">
        <v>3</v>
      </c>
      <c r="C2" s="8" t="s">
        <v>26</v>
      </c>
      <c r="D2" s="9" t="s">
        <v>26</v>
      </c>
      <c r="E2" s="9" t="s">
        <v>10</v>
      </c>
      <c r="F2" s="9" t="s">
        <v>41</v>
      </c>
    </row>
    <row r="3" spans="1:6" ht="1.5" customHeight="1" x14ac:dyDescent="0.2">
      <c r="A3" s="26"/>
      <c r="B3" s="26"/>
      <c r="C3" s="26"/>
      <c r="D3" s="26"/>
      <c r="E3" s="26"/>
      <c r="F3" s="26"/>
    </row>
    <row r="4" spans="1:6" x14ac:dyDescent="0.2">
      <c r="A4" s="3" t="s">
        <v>11</v>
      </c>
      <c r="B4" s="3" t="s">
        <v>106</v>
      </c>
      <c r="C4" s="3" t="s">
        <v>75</v>
      </c>
      <c r="D4" s="5" t="str">
        <f>IF(A4="","",PROPER(C4))</f>
        <v>Tmm</v>
      </c>
      <c r="E4" s="5" t="str">
        <f>IF(A4="","","SHT_NAME_"&amp;B4)</f>
        <v>SHT_NAME_TIME_MANAGE</v>
      </c>
      <c r="F4" s="5" t="str">
        <f>IF(A4="","","Public Const "&amp;E4&amp;" As String = """&amp;$A4&amp;"""")</f>
        <v>Public Const SHT_NAME_TIME_MANAGE As String = "時間管理"</v>
      </c>
    </row>
    <row r="5" spans="1:6" x14ac:dyDescent="0.2">
      <c r="A5" s="3" t="s">
        <v>30</v>
      </c>
      <c r="B5" s="3" t="s">
        <v>107</v>
      </c>
      <c r="C5" s="3" t="s">
        <v>76</v>
      </c>
      <c r="D5" s="5" t="str">
        <f t="shared" ref="D5:D6" si="0">IF(A5="","",PROPER(C5))</f>
        <v>Tmt</v>
      </c>
      <c r="E5" s="5" t="str">
        <f t="shared" ref="E5:E6" si="1">IF(A5="","","SHT_NAME_"&amp;B5)</f>
        <v>SHT_NAME_TIME_TOTAL</v>
      </c>
      <c r="F5" s="5" t="str">
        <f>IF(A5="","","Public Const "&amp;E5&amp;" As String = """&amp;$A5&amp;"""")</f>
        <v>Public Const SHT_NAME_TIME_TOTAL As String = "総時間"</v>
      </c>
    </row>
    <row r="6" spans="1:6" x14ac:dyDescent="0.2">
      <c r="A6" s="3" t="s">
        <v>38</v>
      </c>
      <c r="B6" s="3" t="s">
        <v>108</v>
      </c>
      <c r="C6" s="3" t="s">
        <v>77</v>
      </c>
      <c r="D6" s="5" t="str">
        <f t="shared" si="0"/>
        <v>Hld</v>
      </c>
      <c r="E6" s="5" t="str">
        <f t="shared" si="1"/>
        <v>SHT_NAME_HOLIDAY_LIST</v>
      </c>
      <c r="F6" s="5" t="str">
        <f>IF(A6="","","Public Const "&amp;E6&amp;" As String = """&amp;$A6&amp;"""")</f>
        <v>Public Const SHT_NAME_HOLIDAY_LIST As String = "休日一覧"</v>
      </c>
    </row>
    <row r="7" spans="1:6" ht="1.5" customHeight="1" x14ac:dyDescent="0.2">
      <c r="A7" s="26"/>
      <c r="B7" s="26"/>
      <c r="C7" s="26"/>
      <c r="D7" s="26"/>
      <c r="E7" s="26"/>
      <c r="F7" s="2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2"/>
  <sheetViews>
    <sheetView showGridLines="0" workbookViewId="0">
      <pane xSplit="4" ySplit="4" topLeftCell="E5" activePane="bottomRight" state="frozen"/>
      <selection pane="topRight" activeCell="E1" sqref="E1"/>
      <selection pane="bottomLeft" activeCell="A5" sqref="A5"/>
      <selection pane="bottomRight"/>
    </sheetView>
  </sheetViews>
  <sheetFormatPr defaultRowHeight="13.2" x14ac:dyDescent="0.2"/>
  <cols>
    <col min="1" max="1" width="7.5546875" style="10" bestFit="1" customWidth="1"/>
    <col min="2" max="2" width="20.44140625" style="1" bestFit="1" customWidth="1"/>
    <col min="3" max="3" width="17.21875" style="1" bestFit="1" customWidth="1"/>
    <col min="4" max="4" width="9.5546875" style="1" bestFit="1" customWidth="1"/>
    <col min="5" max="6" width="2.5546875" style="2" customWidth="1"/>
    <col min="7" max="7" width="11.6640625" style="2" bestFit="1" customWidth="1"/>
    <col min="8" max="8" width="5.5546875" style="2" bestFit="1" customWidth="1"/>
    <col min="9" max="15" width="2.5546875" style="2" customWidth="1"/>
    <col min="16" max="16" width="75.33203125" style="2" bestFit="1" customWidth="1"/>
    <col min="17" max="17" width="30.33203125" style="2" bestFit="1" customWidth="1"/>
    <col min="18" max="18" width="8.88671875" style="2"/>
    <col min="19" max="16384" width="8.88671875" style="1"/>
  </cols>
  <sheetData>
    <row r="1" spans="1:19" s="11" customFormat="1" x14ac:dyDescent="0.2">
      <c r="A1" s="6" t="s">
        <v>44</v>
      </c>
      <c r="B1" s="6"/>
      <c r="C1" s="6"/>
      <c r="D1" s="6"/>
      <c r="E1" s="7" t="s">
        <v>39</v>
      </c>
      <c r="F1" s="7"/>
      <c r="G1" s="7"/>
      <c r="H1" s="7"/>
      <c r="I1" s="7"/>
      <c r="J1" s="7"/>
      <c r="K1" s="7"/>
      <c r="L1" s="7"/>
      <c r="M1" s="7"/>
      <c r="N1" s="7"/>
      <c r="O1" s="7"/>
      <c r="P1" s="7" t="s">
        <v>43</v>
      </c>
      <c r="Q1" s="7"/>
      <c r="R1" s="7"/>
    </row>
    <row r="2" spans="1:19" s="11" customFormat="1" x14ac:dyDescent="0.2">
      <c r="A2" s="12"/>
      <c r="B2" s="6" t="s">
        <v>0</v>
      </c>
      <c r="C2" s="6"/>
      <c r="D2" s="8" t="s">
        <v>10</v>
      </c>
      <c r="E2" s="13"/>
      <c r="F2" s="13"/>
      <c r="G2" s="13"/>
      <c r="H2" s="13"/>
      <c r="I2" s="13"/>
      <c r="J2" s="13"/>
      <c r="K2" s="13"/>
      <c r="L2" s="13"/>
      <c r="M2" s="13"/>
      <c r="N2" s="13"/>
      <c r="O2" s="13"/>
      <c r="P2" s="13"/>
      <c r="Q2" s="13"/>
      <c r="R2" s="13"/>
      <c r="S2" s="11" t="s">
        <v>45</v>
      </c>
    </row>
    <row r="3" spans="1:19" s="16" customFormat="1" x14ac:dyDescent="0.2">
      <c r="A3" s="14" t="s">
        <v>4</v>
      </c>
      <c r="B3" s="8" t="s">
        <v>9</v>
      </c>
      <c r="C3" s="8" t="s">
        <v>3</v>
      </c>
      <c r="D3" s="8" t="s">
        <v>9</v>
      </c>
      <c r="E3" s="15"/>
      <c r="F3" s="15"/>
      <c r="G3" s="15" t="s">
        <v>3</v>
      </c>
      <c r="H3" s="15" t="s">
        <v>26</v>
      </c>
      <c r="I3" s="15"/>
      <c r="J3" s="15"/>
      <c r="K3" s="15"/>
      <c r="L3" s="15"/>
      <c r="M3" s="15"/>
      <c r="N3" s="15"/>
      <c r="O3" s="15"/>
      <c r="P3" s="15" t="s">
        <v>8</v>
      </c>
      <c r="Q3" s="15" t="s">
        <v>27</v>
      </c>
      <c r="R3" s="15" t="s">
        <v>28</v>
      </c>
      <c r="S3" s="16" t="s">
        <v>45</v>
      </c>
    </row>
    <row r="4" spans="1:19" ht="1.5" customHeight="1" x14ac:dyDescent="0.2">
      <c r="A4" s="27"/>
      <c r="B4" s="26"/>
      <c r="C4" s="26"/>
      <c r="D4" s="26"/>
      <c r="E4" s="26"/>
      <c r="F4" s="26"/>
      <c r="G4" s="26"/>
      <c r="H4" s="26"/>
      <c r="I4" s="26"/>
      <c r="J4" s="26"/>
      <c r="K4" s="26"/>
      <c r="L4" s="26"/>
      <c r="M4" s="26"/>
      <c r="N4" s="26"/>
      <c r="O4" s="26"/>
      <c r="P4" s="26"/>
      <c r="Q4" s="26"/>
      <c r="R4" s="26"/>
      <c r="S4" s="11" t="s">
        <v>45</v>
      </c>
    </row>
    <row r="5" spans="1:19" x14ac:dyDescent="0.2">
      <c r="A5" s="4" t="s">
        <v>6</v>
      </c>
      <c r="B5" s="3" t="s">
        <v>78</v>
      </c>
      <c r="C5" s="3" t="s">
        <v>12</v>
      </c>
      <c r="D5" s="3" t="s">
        <v>11</v>
      </c>
      <c r="E5" s="5" t="str">
        <f t="shared" ref="E5:E31" si="0">IF($A5="列","CLM",IF($A5="行","ROW",""))</f>
        <v>CLM</v>
      </c>
      <c r="F5" s="5" t="str">
        <f t="shared" ref="F5:F31" si="1">IF($A5="列","Column",IF($A5="行","Row",""))</f>
        <v>Column</v>
      </c>
      <c r="G5" s="5" t="str">
        <f t="shared" ref="G5:G41" si="2">VLOOKUP($D5,シート情報,2,FALSE)</f>
        <v>TIME_MANAGE</v>
      </c>
      <c r="H5" s="5" t="str">
        <f t="shared" ref="H5:H41" si="3">VLOOKUP($D5,シート情報,3,FALSE)</f>
        <v>TMM</v>
      </c>
      <c r="I5" s="5" t="str">
        <f t="shared" ref="I5:I41" si="4">VLOOKUP($D5,シート情報,5,FALSE)</f>
        <v>SHT_NAME_TIME_MANAGE</v>
      </c>
      <c r="J5" s="5" t="str">
        <f t="shared" ref="J5:J33" si="5">PROPER(H5)</f>
        <v>Tmm</v>
      </c>
      <c r="K5" s="5" t="str">
        <f>PROPER(E5)</f>
        <v>Clm</v>
      </c>
      <c r="L5" s="5" t="str">
        <f>[1]!ConvSnakeToPascal(C5)</f>
        <v>DateStrt</v>
      </c>
      <c r="M5" s="5" t="str">
        <f t="shared" ref="M5:M33" si="6">"KWD_"&amp;$H5&amp;"_"&amp;E5&amp;"_"&amp;$C5</f>
        <v>KWD_TMM_CLM_DATE_STRT</v>
      </c>
      <c r="N5" s="5" t="str">
        <f>"l"&amp;J5&amp;K5&amp;L5</f>
        <v>lTmmClmDateStrt</v>
      </c>
      <c r="O5" s="5" t="str">
        <f>"gtCRInfo"</f>
        <v>gtCRInfo</v>
      </c>
      <c r="P5" s="5" t="str">
        <f>IF($B5="","","Public Const "&amp;M5&amp;" As String = """&amp;$A5&amp;"_"&amp;$B5&amp;"""")</f>
        <v>Public Const KWD_TMM_CLM_DATE_STRT As String = "列_日付開始"</v>
      </c>
      <c r="Q5" s="5" t="str">
        <f t="shared" ref="Q5:Q33" si="7">IF($B5="","",CHAR(9)&amp;N5&amp;" As Long")</f>
        <v xml:space="preserve">	lTmmClmDateStrt As Long</v>
      </c>
      <c r="R5" s="5" t="str">
        <f t="shared" ref="R5:R33" si="8">IF($B5="","",CHAR(9)&amp;$O5&amp;"."&amp;$N5&amp;" = ThisWorkbook.Sheets("&amp;$I5&amp;").Cells.Find("&amp;M5&amp;", LookAt:=xlWhole)."&amp;F5)</f>
        <v xml:space="preserve">	gtCRInfo.lTmmClmDateStrt = ThisWorkbook.Sheets(SHT_NAME_TIME_MANAGE).Cells.Find(KWD_TMM_CLM_DATE_STRT, LookAt:=xlWhole).Column</v>
      </c>
      <c r="S5" s="11" t="s">
        <v>45</v>
      </c>
    </row>
    <row r="6" spans="1:19" x14ac:dyDescent="0.2">
      <c r="A6" s="4" t="s">
        <v>6</v>
      </c>
      <c r="B6" s="3" t="s">
        <v>79</v>
      </c>
      <c r="C6" s="3" t="s">
        <v>13</v>
      </c>
      <c r="D6" s="3" t="s">
        <v>11</v>
      </c>
      <c r="E6" s="5" t="str">
        <f t="shared" si="0"/>
        <v>CLM</v>
      </c>
      <c r="F6" s="5" t="str">
        <f t="shared" si="1"/>
        <v>Column</v>
      </c>
      <c r="G6" s="5" t="str">
        <f t="shared" si="2"/>
        <v>TIME_MANAGE</v>
      </c>
      <c r="H6" s="5" t="str">
        <f t="shared" si="3"/>
        <v>TMM</v>
      </c>
      <c r="I6" s="5" t="str">
        <f t="shared" si="4"/>
        <v>SHT_NAME_TIME_MANAGE</v>
      </c>
      <c r="J6" s="5" t="str">
        <f t="shared" si="5"/>
        <v>Tmm</v>
      </c>
      <c r="K6" s="5" t="str">
        <f t="shared" ref="K6:K41" si="9">PROPER(E6)</f>
        <v>Clm</v>
      </c>
      <c r="L6" s="5" t="str">
        <f>[1]!ConvSnakeToPascal(C6)</f>
        <v>DateLast</v>
      </c>
      <c r="M6" s="5" t="str">
        <f t="shared" si="6"/>
        <v>KWD_TMM_CLM_DATE_LAST</v>
      </c>
      <c r="N6" s="5" t="str">
        <f t="shared" ref="N6:N33" si="10">"l"&amp;J6&amp;K6&amp;L6</f>
        <v>lTmmClmDateLast</v>
      </c>
      <c r="O6" s="5" t="str">
        <f t="shared" ref="O6:O41" si="11">"gtCRInfo"</f>
        <v>gtCRInfo</v>
      </c>
      <c r="P6" s="5" t="str">
        <f t="shared" ref="P6:P41" si="12">IF($B6="","","Public Const "&amp;M6&amp;" As String = """&amp;$A6&amp;"_"&amp;$B6&amp;"""")</f>
        <v>Public Const KWD_TMM_CLM_DATE_LAST As String = "列_日付終了"</v>
      </c>
      <c r="Q6" s="5" t="str">
        <f t="shared" si="7"/>
        <v xml:space="preserve">	lTmmClmDateLast As Long</v>
      </c>
      <c r="R6" s="5" t="str">
        <f t="shared" si="8"/>
        <v xml:space="preserve">	gtCRInfo.lTmmClmDateLast = ThisWorkbook.Sheets(SHT_NAME_TIME_MANAGE).Cells.Find(KWD_TMM_CLM_DATE_LAST, LookAt:=xlWhole).Column</v>
      </c>
      <c r="S6" s="11" t="s">
        <v>45</v>
      </c>
    </row>
    <row r="7" spans="1:19" x14ac:dyDescent="0.2">
      <c r="A7" s="4" t="s">
        <v>6</v>
      </c>
      <c r="B7" s="3" t="s">
        <v>80</v>
      </c>
      <c r="C7" s="3" t="s">
        <v>14</v>
      </c>
      <c r="D7" s="3" t="s">
        <v>11</v>
      </c>
      <c r="E7" s="5" t="str">
        <f t="shared" si="0"/>
        <v>CLM</v>
      </c>
      <c r="F7" s="5" t="str">
        <f t="shared" si="1"/>
        <v>Column</v>
      </c>
      <c r="G7" s="5" t="str">
        <f t="shared" si="2"/>
        <v>TIME_MANAGE</v>
      </c>
      <c r="H7" s="5" t="str">
        <f t="shared" si="3"/>
        <v>TMM</v>
      </c>
      <c r="I7" s="5" t="str">
        <f t="shared" si="4"/>
        <v>SHT_NAME_TIME_MANAGE</v>
      </c>
      <c r="J7" s="5" t="str">
        <f t="shared" si="5"/>
        <v>Tmm</v>
      </c>
      <c r="K7" s="5" t="str">
        <f t="shared" si="9"/>
        <v>Clm</v>
      </c>
      <c r="L7" s="5" t="str">
        <f>[1]!ConvSnakeToPascal(C7)</f>
        <v>StyleWeek</v>
      </c>
      <c r="M7" s="5" t="str">
        <f t="shared" si="6"/>
        <v>KWD_TMM_CLM_STYLE_WEEK</v>
      </c>
      <c r="N7" s="5" t="str">
        <f t="shared" si="10"/>
        <v>lTmmClmStyleWeek</v>
      </c>
      <c r="O7" s="5" t="str">
        <f t="shared" si="11"/>
        <v>gtCRInfo</v>
      </c>
      <c r="P7" s="5" t="str">
        <f t="shared" si="12"/>
        <v>Public Const KWD_TMM_CLM_STYLE_WEEK As String = "列_平日書式"</v>
      </c>
      <c r="Q7" s="5" t="str">
        <f t="shared" si="7"/>
        <v xml:space="preserve">	lTmmClmStyleWeek As Long</v>
      </c>
      <c r="R7" s="5" t="str">
        <f t="shared" si="8"/>
        <v xml:space="preserve">	gtCRInfo.lTmmClmStyleWeek = ThisWorkbook.Sheets(SHT_NAME_TIME_MANAGE).Cells.Find(KWD_TMM_CLM_STYLE_WEEK, LookAt:=xlWhole).Column</v>
      </c>
      <c r="S7" s="11" t="s">
        <v>45</v>
      </c>
    </row>
    <row r="8" spans="1:19" x14ac:dyDescent="0.2">
      <c r="A8" s="4" t="s">
        <v>6</v>
      </c>
      <c r="B8" s="3" t="s">
        <v>81</v>
      </c>
      <c r="C8" s="3" t="s">
        <v>15</v>
      </c>
      <c r="D8" s="3" t="s">
        <v>11</v>
      </c>
      <c r="E8" s="5" t="str">
        <f t="shared" si="0"/>
        <v>CLM</v>
      </c>
      <c r="F8" s="5" t="str">
        <f t="shared" si="1"/>
        <v>Column</v>
      </c>
      <c r="G8" s="5" t="str">
        <f t="shared" si="2"/>
        <v>TIME_MANAGE</v>
      </c>
      <c r="H8" s="5" t="str">
        <f t="shared" si="3"/>
        <v>TMM</v>
      </c>
      <c r="I8" s="5" t="str">
        <f t="shared" si="4"/>
        <v>SHT_NAME_TIME_MANAGE</v>
      </c>
      <c r="J8" s="5" t="str">
        <f t="shared" si="5"/>
        <v>Tmm</v>
      </c>
      <c r="K8" s="5" t="str">
        <f t="shared" si="9"/>
        <v>Clm</v>
      </c>
      <c r="L8" s="5" t="str">
        <f>[1]!ConvSnakeToPascal(C8)</f>
        <v>StyleHoliHalf</v>
      </c>
      <c r="M8" s="5" t="str">
        <f t="shared" si="6"/>
        <v>KWD_TMM_CLM_STYLE_HOLI_HALF</v>
      </c>
      <c r="N8" s="5" t="str">
        <f t="shared" si="10"/>
        <v>lTmmClmStyleHoliHalf</v>
      </c>
      <c r="O8" s="5" t="str">
        <f t="shared" si="11"/>
        <v>gtCRInfo</v>
      </c>
      <c r="P8" s="5" t="str">
        <f t="shared" si="12"/>
        <v>Public Const KWD_TMM_CLM_STYLE_HOLI_HALF As String = "列_半休書式"</v>
      </c>
      <c r="Q8" s="5" t="str">
        <f t="shared" si="7"/>
        <v xml:space="preserve">	lTmmClmStyleHoliHalf As Long</v>
      </c>
      <c r="R8" s="5" t="str">
        <f t="shared" si="8"/>
        <v xml:space="preserve">	gtCRInfo.lTmmClmStyleHoliHalf = ThisWorkbook.Sheets(SHT_NAME_TIME_MANAGE).Cells.Find(KWD_TMM_CLM_STYLE_HOLI_HALF, LookAt:=xlWhole).Column</v>
      </c>
      <c r="S8" s="11" t="s">
        <v>45</v>
      </c>
    </row>
    <row r="9" spans="1:19" x14ac:dyDescent="0.2">
      <c r="A9" s="4" t="s">
        <v>6</v>
      </c>
      <c r="B9" s="3" t="s">
        <v>82</v>
      </c>
      <c r="C9" s="3" t="s">
        <v>16</v>
      </c>
      <c r="D9" s="3" t="s">
        <v>11</v>
      </c>
      <c r="E9" s="5" t="str">
        <f t="shared" si="0"/>
        <v>CLM</v>
      </c>
      <c r="F9" s="5" t="str">
        <f t="shared" si="1"/>
        <v>Column</v>
      </c>
      <c r="G9" s="5" t="str">
        <f t="shared" si="2"/>
        <v>TIME_MANAGE</v>
      </c>
      <c r="H9" s="5" t="str">
        <f t="shared" si="3"/>
        <v>TMM</v>
      </c>
      <c r="I9" s="5" t="str">
        <f t="shared" si="4"/>
        <v>SHT_NAME_TIME_MANAGE</v>
      </c>
      <c r="J9" s="5" t="str">
        <f t="shared" si="5"/>
        <v>Tmm</v>
      </c>
      <c r="K9" s="5" t="str">
        <f t="shared" si="9"/>
        <v>Clm</v>
      </c>
      <c r="L9" s="5" t="str">
        <f>[1]!ConvSnakeToPascal(C9)</f>
        <v>StyleHoliAll</v>
      </c>
      <c r="M9" s="5" t="str">
        <f t="shared" si="6"/>
        <v>KWD_TMM_CLM_STYLE_HOLI_ALL</v>
      </c>
      <c r="N9" s="5" t="str">
        <f t="shared" si="10"/>
        <v>lTmmClmStyleHoliAll</v>
      </c>
      <c r="O9" s="5" t="str">
        <f t="shared" si="11"/>
        <v>gtCRInfo</v>
      </c>
      <c r="P9" s="5" t="str">
        <f t="shared" si="12"/>
        <v>Public Const KWD_TMM_CLM_STYLE_HOLI_ALL As String = "列_全休書式"</v>
      </c>
      <c r="Q9" s="5" t="str">
        <f t="shared" si="7"/>
        <v xml:space="preserve">	lTmmClmStyleHoliAll As Long</v>
      </c>
      <c r="R9" s="5" t="str">
        <f t="shared" si="8"/>
        <v xml:space="preserve">	gtCRInfo.lTmmClmStyleHoliAll = ThisWorkbook.Sheets(SHT_NAME_TIME_MANAGE).Cells.Find(KWD_TMM_CLM_STYLE_HOLI_ALL, LookAt:=xlWhole).Column</v>
      </c>
      <c r="S9" s="11" t="s">
        <v>45</v>
      </c>
    </row>
    <row r="10" spans="1:19" x14ac:dyDescent="0.2">
      <c r="A10" s="4" t="s">
        <v>6</v>
      </c>
      <c r="B10" s="3" t="s">
        <v>83</v>
      </c>
      <c r="C10" s="3" t="s">
        <v>17</v>
      </c>
      <c r="D10" s="3" t="s">
        <v>11</v>
      </c>
      <c r="E10" s="5" t="str">
        <f t="shared" si="0"/>
        <v>CLM</v>
      </c>
      <c r="F10" s="5" t="str">
        <f t="shared" si="1"/>
        <v>Column</v>
      </c>
      <c r="G10" s="5" t="str">
        <f t="shared" si="2"/>
        <v>TIME_MANAGE</v>
      </c>
      <c r="H10" s="5" t="str">
        <f t="shared" si="3"/>
        <v>TMM</v>
      </c>
      <c r="I10" s="5" t="str">
        <f t="shared" si="4"/>
        <v>SHT_NAME_TIME_MANAGE</v>
      </c>
      <c r="J10" s="5" t="str">
        <f t="shared" si="5"/>
        <v>Tmm</v>
      </c>
      <c r="K10" s="5" t="str">
        <f t="shared" si="9"/>
        <v>Clm</v>
      </c>
      <c r="L10" s="5" t="str">
        <f>[1]!ConvSnakeToPascal(C10)</f>
        <v>TaskCate</v>
      </c>
      <c r="M10" s="5" t="str">
        <f t="shared" si="6"/>
        <v>KWD_TMM_CLM_TASK_CATE</v>
      </c>
      <c r="N10" s="5" t="str">
        <f t="shared" si="10"/>
        <v>lTmmClmTaskCate</v>
      </c>
      <c r="O10" s="5" t="str">
        <f t="shared" si="11"/>
        <v>gtCRInfo</v>
      </c>
      <c r="P10" s="5" t="str">
        <f t="shared" si="12"/>
        <v>Public Const KWD_TMM_CLM_TASK_CATE As String = "列_タスク_カテゴリ"</v>
      </c>
      <c r="Q10" s="5" t="str">
        <f t="shared" si="7"/>
        <v xml:space="preserve">	lTmmClmTaskCate As Long</v>
      </c>
      <c r="R10" s="5" t="str">
        <f t="shared" si="8"/>
        <v xml:space="preserve">	gtCRInfo.lTmmClmTaskCate = ThisWorkbook.Sheets(SHT_NAME_TIME_MANAGE).Cells.Find(KWD_TMM_CLM_TASK_CATE, LookAt:=xlWhole).Column</v>
      </c>
      <c r="S10" s="11" t="s">
        <v>45</v>
      </c>
    </row>
    <row r="11" spans="1:19" x14ac:dyDescent="0.2">
      <c r="A11" s="4" t="s">
        <v>6</v>
      </c>
      <c r="B11" s="3" t="s">
        <v>84</v>
      </c>
      <c r="C11" s="3" t="s">
        <v>2</v>
      </c>
      <c r="D11" s="3" t="s">
        <v>11</v>
      </c>
      <c r="E11" s="5" t="str">
        <f t="shared" si="0"/>
        <v>CLM</v>
      </c>
      <c r="F11" s="5" t="str">
        <f t="shared" si="1"/>
        <v>Column</v>
      </c>
      <c r="G11" s="5" t="str">
        <f t="shared" si="2"/>
        <v>TIME_MANAGE</v>
      </c>
      <c r="H11" s="5" t="str">
        <f t="shared" si="3"/>
        <v>TMM</v>
      </c>
      <c r="I11" s="5" t="str">
        <f t="shared" si="4"/>
        <v>SHT_NAME_TIME_MANAGE</v>
      </c>
      <c r="J11" s="5" t="str">
        <f t="shared" si="5"/>
        <v>Tmm</v>
      </c>
      <c r="K11" s="5" t="str">
        <f t="shared" si="9"/>
        <v>Clm</v>
      </c>
      <c r="L11" s="5" t="str">
        <f>[1]!ConvSnakeToPascal(C11)</f>
        <v>TaskLevel1</v>
      </c>
      <c r="M11" s="5" t="str">
        <f t="shared" si="6"/>
        <v>KWD_TMM_CLM_TASK_LEVEL1</v>
      </c>
      <c r="N11" s="5" t="str">
        <f t="shared" si="10"/>
        <v>lTmmClmTaskLevel1</v>
      </c>
      <c r="O11" s="5" t="str">
        <f t="shared" si="11"/>
        <v>gtCRInfo</v>
      </c>
      <c r="P11" s="5" t="str">
        <f t="shared" si="12"/>
        <v>Public Const KWD_TMM_CLM_TASK_LEVEL1 As String = "列_タスク_レベル１"</v>
      </c>
      <c r="Q11" s="5" t="str">
        <f t="shared" si="7"/>
        <v xml:space="preserve">	lTmmClmTaskLevel1 As Long</v>
      </c>
      <c r="R11" s="5" t="str">
        <f t="shared" si="8"/>
        <v xml:space="preserve">	gtCRInfo.lTmmClmTaskLevel1 = ThisWorkbook.Sheets(SHT_NAME_TIME_MANAGE).Cells.Find(KWD_TMM_CLM_TASK_LEVEL1, LookAt:=xlWhole).Column</v>
      </c>
      <c r="S11" s="11" t="s">
        <v>45</v>
      </c>
    </row>
    <row r="12" spans="1:19" x14ac:dyDescent="0.2">
      <c r="A12" s="4" t="s">
        <v>6</v>
      </c>
      <c r="B12" s="3" t="s">
        <v>85</v>
      </c>
      <c r="C12" s="3" t="s">
        <v>18</v>
      </c>
      <c r="D12" s="3" t="s">
        <v>11</v>
      </c>
      <c r="E12" s="5" t="str">
        <f t="shared" si="0"/>
        <v>CLM</v>
      </c>
      <c r="F12" s="5" t="str">
        <f t="shared" si="1"/>
        <v>Column</v>
      </c>
      <c r="G12" s="5" t="str">
        <f t="shared" si="2"/>
        <v>TIME_MANAGE</v>
      </c>
      <c r="H12" s="5" t="str">
        <f t="shared" si="3"/>
        <v>TMM</v>
      </c>
      <c r="I12" s="5" t="str">
        <f t="shared" si="4"/>
        <v>SHT_NAME_TIME_MANAGE</v>
      </c>
      <c r="J12" s="5" t="str">
        <f t="shared" si="5"/>
        <v>Tmm</v>
      </c>
      <c r="K12" s="5" t="str">
        <f t="shared" si="9"/>
        <v>Clm</v>
      </c>
      <c r="L12" s="5" t="str">
        <f>[1]!ConvSnakeToPascal(C12)</f>
        <v>TaskLevel2</v>
      </c>
      <c r="M12" s="5" t="str">
        <f t="shared" si="6"/>
        <v>KWD_TMM_CLM_TASK_LEVEL2</v>
      </c>
      <c r="N12" s="5" t="str">
        <f t="shared" si="10"/>
        <v>lTmmClmTaskLevel2</v>
      </c>
      <c r="O12" s="5" t="str">
        <f t="shared" si="11"/>
        <v>gtCRInfo</v>
      </c>
      <c r="P12" s="5" t="str">
        <f t="shared" si="12"/>
        <v>Public Const KWD_TMM_CLM_TASK_LEVEL2 As String = "列_タスク_レベル２"</v>
      </c>
      <c r="Q12" s="5" t="str">
        <f t="shared" si="7"/>
        <v xml:space="preserve">	lTmmClmTaskLevel2 As Long</v>
      </c>
      <c r="R12" s="5" t="str">
        <f t="shared" si="8"/>
        <v xml:space="preserve">	gtCRInfo.lTmmClmTaskLevel2 = ThisWorkbook.Sheets(SHT_NAME_TIME_MANAGE).Cells.Find(KWD_TMM_CLM_TASK_LEVEL2, LookAt:=xlWhole).Column</v>
      </c>
      <c r="S12" s="11" t="s">
        <v>45</v>
      </c>
    </row>
    <row r="13" spans="1:19" x14ac:dyDescent="0.2">
      <c r="A13" s="4" t="s">
        <v>6</v>
      </c>
      <c r="B13" s="3" t="s">
        <v>86</v>
      </c>
      <c r="C13" s="3" t="s">
        <v>19</v>
      </c>
      <c r="D13" s="3" t="s">
        <v>11</v>
      </c>
      <c r="E13" s="5" t="str">
        <f t="shared" si="0"/>
        <v>CLM</v>
      </c>
      <c r="F13" s="5" t="str">
        <f t="shared" si="1"/>
        <v>Column</v>
      </c>
      <c r="G13" s="5" t="str">
        <f t="shared" si="2"/>
        <v>TIME_MANAGE</v>
      </c>
      <c r="H13" s="5" t="str">
        <f t="shared" si="3"/>
        <v>TMM</v>
      </c>
      <c r="I13" s="5" t="str">
        <f t="shared" si="4"/>
        <v>SHT_NAME_TIME_MANAGE</v>
      </c>
      <c r="J13" s="5" t="str">
        <f t="shared" si="5"/>
        <v>Tmm</v>
      </c>
      <c r="K13" s="5" t="str">
        <f t="shared" si="9"/>
        <v>Clm</v>
      </c>
      <c r="L13" s="5" t="str">
        <f>[1]!ConvSnakeToPascal(C13)</f>
        <v>TaskLevel3</v>
      </c>
      <c r="M13" s="5" t="str">
        <f t="shared" si="6"/>
        <v>KWD_TMM_CLM_TASK_LEVEL3</v>
      </c>
      <c r="N13" s="5" t="str">
        <f t="shared" si="10"/>
        <v>lTmmClmTaskLevel3</v>
      </c>
      <c r="O13" s="5" t="str">
        <f t="shared" si="11"/>
        <v>gtCRInfo</v>
      </c>
      <c r="P13" s="5" t="str">
        <f t="shared" si="12"/>
        <v>Public Const KWD_TMM_CLM_TASK_LEVEL3 As String = "列_タスク_レベル３"</v>
      </c>
      <c r="Q13" s="5" t="str">
        <f t="shared" si="7"/>
        <v xml:space="preserve">	lTmmClmTaskLevel3 As Long</v>
      </c>
      <c r="R13" s="5" t="str">
        <f t="shared" si="8"/>
        <v xml:space="preserve">	gtCRInfo.lTmmClmTaskLevel3 = ThisWorkbook.Sheets(SHT_NAME_TIME_MANAGE).Cells.Find(KWD_TMM_CLM_TASK_LEVEL3, LookAt:=xlWhole).Column</v>
      </c>
      <c r="S13" s="11" t="s">
        <v>45</v>
      </c>
    </row>
    <row r="14" spans="1:19" x14ac:dyDescent="0.2">
      <c r="A14" s="4" t="s">
        <v>6</v>
      </c>
      <c r="B14" s="3" t="s">
        <v>87</v>
      </c>
      <c r="C14" s="3" t="s">
        <v>73</v>
      </c>
      <c r="D14" s="3" t="s">
        <v>11</v>
      </c>
      <c r="E14" s="5" t="str">
        <f>IF($A14="列","CLM",IF($A14="行","ROW",""))</f>
        <v>CLM</v>
      </c>
      <c r="F14" s="5" t="str">
        <f>IF($A14="列","Column",IF($A14="行","Row",""))</f>
        <v>Column</v>
      </c>
      <c r="G14" s="5" t="str">
        <f>VLOOKUP($D14,シート情報,2,FALSE)</f>
        <v>TIME_MANAGE</v>
      </c>
      <c r="H14" s="5" t="str">
        <f>VLOOKUP($D14,シート情報,3,FALSE)</f>
        <v>TMM</v>
      </c>
      <c r="I14" s="5" t="str">
        <f>VLOOKUP($D14,シート情報,5,FALSE)</f>
        <v>SHT_NAME_TIME_MANAGE</v>
      </c>
      <c r="J14" s="5" t="str">
        <f t="shared" ref="J14" si="13">PROPER(H14)</f>
        <v>Tmm</v>
      </c>
      <c r="K14" s="5" t="str">
        <f t="shared" ref="K14" si="14">PROPER(E14)</f>
        <v>Clm</v>
      </c>
      <c r="L14" s="5" t="str">
        <f>[1]!ConvSnakeToPascal(C14)</f>
        <v>Timecnt</v>
      </c>
      <c r="M14" s="5" t="str">
        <f>"KWD_"&amp;$H14&amp;"_"&amp;E14&amp;"_"&amp;$C14</f>
        <v>KWD_TMM_CLM_TIMECNT</v>
      </c>
      <c r="N14" s="5" t="str">
        <f t="shared" ref="N14" si="15">"l"&amp;J14&amp;K14&amp;L14</f>
        <v>lTmmClmTimecnt</v>
      </c>
      <c r="O14" s="5" t="str">
        <f t="shared" si="11"/>
        <v>gtCRInfo</v>
      </c>
      <c r="P14" s="5" t="str">
        <f t="shared" si="12"/>
        <v>Public Const KWD_TMM_CLM_TIMECNT As String = "列_件数"</v>
      </c>
      <c r="Q14" s="5" t="str">
        <f>IF($B14="","",CHAR(9)&amp;N14&amp;" As Long")</f>
        <v xml:space="preserve">	lTmmClmTimecnt As Long</v>
      </c>
      <c r="R14" s="5" t="str">
        <f>IF($B14="","",CHAR(9)&amp;$O14&amp;"."&amp;$N14&amp;" = ThisWorkbook.Sheets("&amp;$I14&amp;").Cells.Find("&amp;M14&amp;", LookAt:=xlWhole)."&amp;F14)</f>
        <v xml:space="preserve">	gtCRInfo.lTmmClmTimecnt = ThisWorkbook.Sheets(SHT_NAME_TIME_MANAGE).Cells.Find(KWD_TMM_CLM_TIMECNT, LookAt:=xlWhole).Column</v>
      </c>
      <c r="S14" s="11" t="s">
        <v>45</v>
      </c>
    </row>
    <row r="15" spans="1:19" x14ac:dyDescent="0.2">
      <c r="A15" s="4" t="s">
        <v>6</v>
      </c>
      <c r="B15" s="3" t="s">
        <v>88</v>
      </c>
      <c r="C15" s="3" t="s">
        <v>74</v>
      </c>
      <c r="D15" s="3" t="s">
        <v>11</v>
      </c>
      <c r="E15" s="5" t="str">
        <f>IF($A15="列","CLM",IF($A15="行","ROW",""))</f>
        <v>CLM</v>
      </c>
      <c r="F15" s="5" t="str">
        <f>IF($A15="列","Column",IF($A15="行","Row",""))</f>
        <v>Column</v>
      </c>
      <c r="G15" s="5" t="str">
        <f>VLOOKUP($D15,シート情報,2,FALSE)</f>
        <v>TIME_MANAGE</v>
      </c>
      <c r="H15" s="5" t="str">
        <f>VLOOKUP($D15,シート情報,3,FALSE)</f>
        <v>TMM</v>
      </c>
      <c r="I15" s="5" t="str">
        <f>VLOOKUP($D15,シート情報,5,FALSE)</f>
        <v>SHT_NAME_TIME_MANAGE</v>
      </c>
      <c r="J15" s="5" t="str">
        <f t="shared" ref="J15" si="16">PROPER(H15)</f>
        <v>Tmm</v>
      </c>
      <c r="K15" s="5" t="str">
        <f t="shared" ref="K15" si="17">PROPER(E15)</f>
        <v>Clm</v>
      </c>
      <c r="L15" s="5" t="str">
        <f>[1]!ConvSnakeToPascal(C15)</f>
        <v>Progress</v>
      </c>
      <c r="M15" s="5" t="str">
        <f>"KWD_"&amp;$H15&amp;"_"&amp;E15&amp;"_"&amp;$C15</f>
        <v>KWD_TMM_CLM_PROGRESS</v>
      </c>
      <c r="N15" s="5" t="str">
        <f t="shared" ref="N15" si="18">"l"&amp;J15&amp;K15&amp;L15</f>
        <v>lTmmClmProgress</v>
      </c>
      <c r="O15" s="5" t="str">
        <f t="shared" si="11"/>
        <v>gtCRInfo</v>
      </c>
      <c r="P15" s="5" t="str">
        <f t="shared" si="12"/>
        <v>Public Const KWD_TMM_CLM_PROGRESS As String = "列_進捗"</v>
      </c>
      <c r="Q15" s="5" t="str">
        <f>IF($B15="","",CHAR(9)&amp;N15&amp;" As Long")</f>
        <v xml:space="preserve">	lTmmClmProgress As Long</v>
      </c>
      <c r="R15" s="5" t="str">
        <f>IF($B15="","",CHAR(9)&amp;$O15&amp;"."&amp;$N15&amp;" = ThisWorkbook.Sheets("&amp;$I15&amp;").Cells.Find("&amp;M15&amp;", LookAt:=xlWhole)."&amp;F15)</f>
        <v xml:space="preserve">	gtCRInfo.lTmmClmProgress = ThisWorkbook.Sheets(SHT_NAME_TIME_MANAGE).Cells.Find(KWD_TMM_CLM_PROGRESS, LookAt:=xlWhole).Column</v>
      </c>
      <c r="S15" s="11" t="s">
        <v>45</v>
      </c>
    </row>
    <row r="16" spans="1:19" x14ac:dyDescent="0.2">
      <c r="A16" s="4" t="s">
        <v>6</v>
      </c>
      <c r="B16" s="3" t="s">
        <v>89</v>
      </c>
      <c r="C16" s="3" t="s">
        <v>20</v>
      </c>
      <c r="D16" s="3" t="s">
        <v>11</v>
      </c>
      <c r="E16" s="5" t="str">
        <f t="shared" si="0"/>
        <v>CLM</v>
      </c>
      <c r="F16" s="5" t="str">
        <f t="shared" si="1"/>
        <v>Column</v>
      </c>
      <c r="G16" s="5" t="str">
        <f t="shared" si="2"/>
        <v>TIME_MANAGE</v>
      </c>
      <c r="H16" s="5" t="str">
        <f t="shared" si="3"/>
        <v>TMM</v>
      </c>
      <c r="I16" s="5" t="str">
        <f t="shared" si="4"/>
        <v>SHT_NAME_TIME_MANAGE</v>
      </c>
      <c r="J16" s="5" t="str">
        <f t="shared" si="5"/>
        <v>Tmm</v>
      </c>
      <c r="K16" s="5" t="str">
        <f t="shared" si="9"/>
        <v>Clm</v>
      </c>
      <c r="L16" s="5" t="str">
        <f>[1]!ConvSnakeToPascal(C16)</f>
        <v>Shedorrslt</v>
      </c>
      <c r="M16" s="5" t="str">
        <f t="shared" si="6"/>
        <v>KWD_TMM_CLM_SHEDORRSLT</v>
      </c>
      <c r="N16" s="5" t="str">
        <f t="shared" si="10"/>
        <v>lTmmClmShedorrslt</v>
      </c>
      <c r="O16" s="5" t="str">
        <f t="shared" si="11"/>
        <v>gtCRInfo</v>
      </c>
      <c r="P16" s="5" t="str">
        <f t="shared" si="12"/>
        <v>Public Const KWD_TMM_CLM_SHEDORRSLT As String = "列_予実"</v>
      </c>
      <c r="Q16" s="5" t="str">
        <f t="shared" si="7"/>
        <v xml:space="preserve">	lTmmClmShedorrslt As Long</v>
      </c>
      <c r="R16" s="5" t="str">
        <f t="shared" si="8"/>
        <v xml:space="preserve">	gtCRInfo.lTmmClmShedorrslt = ThisWorkbook.Sheets(SHT_NAME_TIME_MANAGE).Cells.Find(KWD_TMM_CLM_SHEDORRSLT, LookAt:=xlWhole).Column</v>
      </c>
      <c r="S16" s="11" t="s">
        <v>45</v>
      </c>
    </row>
    <row r="17" spans="1:19" x14ac:dyDescent="0.2">
      <c r="A17" s="4" t="s">
        <v>6</v>
      </c>
      <c r="B17" s="3" t="s">
        <v>90</v>
      </c>
      <c r="C17" s="3" t="s">
        <v>21</v>
      </c>
      <c r="D17" s="3" t="s">
        <v>11</v>
      </c>
      <c r="E17" s="5" t="str">
        <f t="shared" si="0"/>
        <v>CLM</v>
      </c>
      <c r="F17" s="5" t="str">
        <f t="shared" si="1"/>
        <v>Column</v>
      </c>
      <c r="G17" s="5" t="str">
        <f t="shared" si="2"/>
        <v>TIME_MANAGE</v>
      </c>
      <c r="H17" s="5" t="str">
        <f t="shared" si="3"/>
        <v>TMM</v>
      </c>
      <c r="I17" s="5" t="str">
        <f t="shared" si="4"/>
        <v>SHT_NAME_TIME_MANAGE</v>
      </c>
      <c r="J17" s="5" t="str">
        <f t="shared" ref="J17" si="19">PROPER(H17)</f>
        <v>Tmm</v>
      </c>
      <c r="K17" s="5" t="str">
        <f t="shared" ref="K17" si="20">PROPER(E17)</f>
        <v>Clm</v>
      </c>
      <c r="L17" s="5" t="str">
        <f>[1]!ConvSnakeToPascal(C17)</f>
        <v>TimeTotal</v>
      </c>
      <c r="M17" s="5" t="str">
        <f t="shared" ref="M17" si="21">"KWD_"&amp;$H17&amp;"_"&amp;E17&amp;"_"&amp;$C17</f>
        <v>KWD_TMM_CLM_TIME_TOTAL</v>
      </c>
      <c r="N17" s="5" t="str">
        <f t="shared" ref="N17" si="22">"l"&amp;J17&amp;K17&amp;L17</f>
        <v>lTmmClmTimeTotal</v>
      </c>
      <c r="O17" s="5" t="str">
        <f t="shared" si="11"/>
        <v>gtCRInfo</v>
      </c>
      <c r="P17" s="5" t="str">
        <f t="shared" si="12"/>
        <v>Public Const KWD_TMM_CLM_TIME_TOTAL As String = "列_合計"</v>
      </c>
      <c r="Q17" s="5" t="str">
        <f t="shared" ref="Q17" si="23">IF($B17="","",CHAR(9)&amp;N17&amp;" As Long")</f>
        <v xml:space="preserve">	lTmmClmTimeTotal As Long</v>
      </c>
      <c r="R17" s="5" t="str">
        <f t="shared" ref="R17" si="24">IF($B17="","",CHAR(9)&amp;$O17&amp;"."&amp;$N17&amp;" = ThisWorkbook.Sheets("&amp;$I17&amp;").Cells.Find("&amp;M17&amp;", LookAt:=xlWhole)."&amp;F17)</f>
        <v xml:space="preserve">	gtCRInfo.lTmmClmTimeTotal = ThisWorkbook.Sheets(SHT_NAME_TIME_MANAGE).Cells.Find(KWD_TMM_CLM_TIME_TOTAL, LookAt:=xlWhole).Column</v>
      </c>
      <c r="S17" s="11" t="s">
        <v>45</v>
      </c>
    </row>
    <row r="18" spans="1:19" x14ac:dyDescent="0.2">
      <c r="A18" s="4" t="s">
        <v>7</v>
      </c>
      <c r="B18" s="3" t="s">
        <v>100</v>
      </c>
      <c r="C18" s="3" t="s">
        <v>22</v>
      </c>
      <c r="D18" s="3" t="s">
        <v>11</v>
      </c>
      <c r="E18" s="5" t="str">
        <f t="shared" si="0"/>
        <v>ROW</v>
      </c>
      <c r="F18" s="5" t="str">
        <f t="shared" si="1"/>
        <v>Row</v>
      </c>
      <c r="G18" s="5" t="str">
        <f t="shared" si="2"/>
        <v>TIME_MANAGE</v>
      </c>
      <c r="H18" s="5" t="str">
        <f t="shared" si="3"/>
        <v>TMM</v>
      </c>
      <c r="I18" s="5" t="str">
        <f t="shared" si="4"/>
        <v>SHT_NAME_TIME_MANAGE</v>
      </c>
      <c r="J18" s="5" t="str">
        <f t="shared" si="5"/>
        <v>Tmm</v>
      </c>
      <c r="K18" s="5" t="str">
        <f t="shared" si="9"/>
        <v>Row</v>
      </c>
      <c r="L18" s="5" t="str">
        <f>[1]!ConvSnakeToPascal(C18)</f>
        <v>HoliType</v>
      </c>
      <c r="M18" s="5" t="str">
        <f t="shared" si="6"/>
        <v>KWD_TMM_ROW_HOLI_TYPE</v>
      </c>
      <c r="N18" s="5" t="str">
        <f t="shared" si="10"/>
        <v>lTmmRowHoliType</v>
      </c>
      <c r="O18" s="5" t="str">
        <f t="shared" si="11"/>
        <v>gtCRInfo</v>
      </c>
      <c r="P18" s="5" t="str">
        <f t="shared" si="12"/>
        <v>Public Const KWD_TMM_ROW_HOLI_TYPE As String = "行_休日種別"</v>
      </c>
      <c r="Q18" s="5" t="str">
        <f t="shared" si="7"/>
        <v xml:space="preserve">	lTmmRowHoliType As Long</v>
      </c>
      <c r="R18" s="5" t="str">
        <f t="shared" si="8"/>
        <v xml:space="preserve">	gtCRInfo.lTmmRowHoliType = ThisWorkbook.Sheets(SHT_NAME_TIME_MANAGE).Cells.Find(KWD_TMM_ROW_HOLI_TYPE, LookAt:=xlWhole).Row</v>
      </c>
      <c r="S18" s="11" t="s">
        <v>45</v>
      </c>
    </row>
    <row r="19" spans="1:19" x14ac:dyDescent="0.2">
      <c r="A19" s="4" t="s">
        <v>7</v>
      </c>
      <c r="B19" s="3" t="s">
        <v>96</v>
      </c>
      <c r="C19" s="3" t="s">
        <v>23</v>
      </c>
      <c r="D19" s="3" t="s">
        <v>11</v>
      </c>
      <c r="E19" s="5" t="str">
        <f t="shared" si="0"/>
        <v>ROW</v>
      </c>
      <c r="F19" s="5" t="str">
        <f t="shared" si="1"/>
        <v>Row</v>
      </c>
      <c r="G19" s="5" t="str">
        <f t="shared" si="2"/>
        <v>TIME_MANAGE</v>
      </c>
      <c r="H19" s="5" t="str">
        <f t="shared" si="3"/>
        <v>TMM</v>
      </c>
      <c r="I19" s="5" t="str">
        <f t="shared" si="4"/>
        <v>SHT_NAME_TIME_MANAGE</v>
      </c>
      <c r="J19" s="5" t="str">
        <f t="shared" si="5"/>
        <v>Tmm</v>
      </c>
      <c r="K19" s="5" t="str">
        <f t="shared" si="9"/>
        <v>Row</v>
      </c>
      <c r="L19" s="5" t="str">
        <f>[1]!ConvSnakeToPascal(C19)</f>
        <v>Date</v>
      </c>
      <c r="M19" s="5" t="str">
        <f t="shared" si="6"/>
        <v>KWD_TMM_ROW_DATE</v>
      </c>
      <c r="N19" s="5" t="str">
        <f t="shared" si="10"/>
        <v>lTmmRowDate</v>
      </c>
      <c r="O19" s="5" t="str">
        <f t="shared" si="11"/>
        <v>gtCRInfo</v>
      </c>
      <c r="P19" s="5" t="str">
        <f t="shared" si="12"/>
        <v>Public Const KWD_TMM_ROW_DATE As String = "行_日付"</v>
      </c>
      <c r="Q19" s="5" t="str">
        <f t="shared" si="7"/>
        <v xml:space="preserve">	lTmmRowDate As Long</v>
      </c>
      <c r="R19" s="5" t="str">
        <f t="shared" si="8"/>
        <v xml:space="preserve">	gtCRInfo.lTmmRowDate = ThisWorkbook.Sheets(SHT_NAME_TIME_MANAGE).Cells.Find(KWD_TMM_ROW_DATE, LookAt:=xlWhole).Row</v>
      </c>
      <c r="S19" s="11" t="s">
        <v>45</v>
      </c>
    </row>
    <row r="20" spans="1:19" x14ac:dyDescent="0.2">
      <c r="A20" s="4" t="s">
        <v>7</v>
      </c>
      <c r="B20" s="3" t="s">
        <v>101</v>
      </c>
      <c r="C20" s="3" t="s">
        <v>1</v>
      </c>
      <c r="D20" s="3" t="s">
        <v>11</v>
      </c>
      <c r="E20" s="5" t="str">
        <f t="shared" si="0"/>
        <v>ROW</v>
      </c>
      <c r="F20" s="5" t="str">
        <f t="shared" si="1"/>
        <v>Row</v>
      </c>
      <c r="G20" s="5" t="str">
        <f t="shared" si="2"/>
        <v>TIME_MANAGE</v>
      </c>
      <c r="H20" s="5" t="str">
        <f t="shared" si="3"/>
        <v>TMM</v>
      </c>
      <c r="I20" s="5" t="str">
        <f t="shared" si="4"/>
        <v>SHT_NAME_TIME_MANAGE</v>
      </c>
      <c r="J20" s="5" t="str">
        <f t="shared" si="5"/>
        <v>Tmm</v>
      </c>
      <c r="K20" s="5" t="str">
        <f t="shared" si="9"/>
        <v>Row</v>
      </c>
      <c r="L20" s="5" t="str">
        <f>[1]!ConvSnakeToPascal(C20)</f>
        <v>Title</v>
      </c>
      <c r="M20" s="5" t="str">
        <f t="shared" si="6"/>
        <v>KWD_TMM_ROW_TITLE</v>
      </c>
      <c r="N20" s="5" t="str">
        <f t="shared" si="10"/>
        <v>lTmmRowTitle</v>
      </c>
      <c r="O20" s="5" t="str">
        <f t="shared" si="11"/>
        <v>gtCRInfo</v>
      </c>
      <c r="P20" s="5" t="str">
        <f t="shared" si="12"/>
        <v>Public Const KWD_TMM_ROW_TITLE As String = "行_タイトル"</v>
      </c>
      <c r="Q20" s="5" t="str">
        <f t="shared" si="7"/>
        <v xml:space="preserve">	lTmmRowTitle As Long</v>
      </c>
      <c r="R20" s="5" t="str">
        <f t="shared" si="8"/>
        <v xml:space="preserve">	gtCRInfo.lTmmRowTitle = ThisWorkbook.Sheets(SHT_NAME_TIME_MANAGE).Cells.Find(KWD_TMM_ROW_TITLE, LookAt:=xlWhole).Row</v>
      </c>
      <c r="S20" s="11" t="s">
        <v>45</v>
      </c>
    </row>
    <row r="21" spans="1:19" x14ac:dyDescent="0.2">
      <c r="A21" s="4" t="s">
        <v>7</v>
      </c>
      <c r="B21" s="3" t="s">
        <v>90</v>
      </c>
      <c r="C21" s="3" t="s">
        <v>21</v>
      </c>
      <c r="D21" s="3" t="s">
        <v>11</v>
      </c>
      <c r="E21" s="5" t="str">
        <f t="shared" si="0"/>
        <v>ROW</v>
      </c>
      <c r="F21" s="5" t="str">
        <f t="shared" si="1"/>
        <v>Row</v>
      </c>
      <c r="G21" s="5" t="str">
        <f t="shared" si="2"/>
        <v>TIME_MANAGE</v>
      </c>
      <c r="H21" s="5" t="str">
        <f t="shared" si="3"/>
        <v>TMM</v>
      </c>
      <c r="I21" s="5" t="str">
        <f t="shared" si="4"/>
        <v>SHT_NAME_TIME_MANAGE</v>
      </c>
      <c r="J21" s="5" t="str">
        <f t="shared" si="5"/>
        <v>Tmm</v>
      </c>
      <c r="K21" s="5" t="str">
        <f t="shared" si="9"/>
        <v>Row</v>
      </c>
      <c r="L21" s="5" t="str">
        <f>[1]!ConvSnakeToPascal(C21)</f>
        <v>TimeTotal</v>
      </c>
      <c r="M21" s="5" t="str">
        <f t="shared" si="6"/>
        <v>KWD_TMM_ROW_TIME_TOTAL</v>
      </c>
      <c r="N21" s="5" t="str">
        <f t="shared" si="10"/>
        <v>lTmmRowTimeTotal</v>
      </c>
      <c r="O21" s="5" t="str">
        <f t="shared" si="11"/>
        <v>gtCRInfo</v>
      </c>
      <c r="P21" s="5" t="str">
        <f t="shared" si="12"/>
        <v>Public Const KWD_TMM_ROW_TIME_TOTAL As String = "行_合計"</v>
      </c>
      <c r="Q21" s="5" t="str">
        <f t="shared" si="7"/>
        <v xml:space="preserve">	lTmmRowTimeTotal As Long</v>
      </c>
      <c r="R21" s="5" t="str">
        <f t="shared" si="8"/>
        <v xml:space="preserve">	gtCRInfo.lTmmRowTimeTotal = ThisWorkbook.Sheets(SHT_NAME_TIME_MANAGE).Cells.Find(KWD_TMM_ROW_TIME_TOTAL, LookAt:=xlWhole).Row</v>
      </c>
      <c r="S21" s="11" t="s">
        <v>45</v>
      </c>
    </row>
    <row r="22" spans="1:19" x14ac:dyDescent="0.2">
      <c r="A22" s="4" t="s">
        <v>7</v>
      </c>
      <c r="B22" s="3" t="s">
        <v>102</v>
      </c>
      <c r="C22" s="3" t="s">
        <v>24</v>
      </c>
      <c r="D22" s="3" t="s">
        <v>11</v>
      </c>
      <c r="E22" s="5" t="str">
        <f t="shared" si="0"/>
        <v>ROW</v>
      </c>
      <c r="F22" s="5" t="str">
        <f t="shared" si="1"/>
        <v>Row</v>
      </c>
      <c r="G22" s="5" t="str">
        <f t="shared" si="2"/>
        <v>TIME_MANAGE</v>
      </c>
      <c r="H22" s="5" t="str">
        <f t="shared" si="3"/>
        <v>TMM</v>
      </c>
      <c r="I22" s="5" t="str">
        <f t="shared" si="4"/>
        <v>SHT_NAME_TIME_MANAGE</v>
      </c>
      <c r="J22" s="5" t="str">
        <f t="shared" si="5"/>
        <v>Tmm</v>
      </c>
      <c r="K22" s="5" t="str">
        <f t="shared" si="9"/>
        <v>Row</v>
      </c>
      <c r="L22" s="5" t="str">
        <f>[1]!ConvSnakeToPascal(C22)</f>
        <v>TaskStrt</v>
      </c>
      <c r="M22" s="5" t="str">
        <f t="shared" si="6"/>
        <v>KWD_TMM_ROW_TASK_STRT</v>
      </c>
      <c r="N22" s="5" t="str">
        <f t="shared" si="10"/>
        <v>lTmmRowTaskStrt</v>
      </c>
      <c r="O22" s="5" t="str">
        <f t="shared" si="11"/>
        <v>gtCRInfo</v>
      </c>
      <c r="P22" s="5" t="str">
        <f t="shared" si="12"/>
        <v>Public Const KWD_TMM_ROW_TASK_STRT As String = "行_タスク開始"</v>
      </c>
      <c r="Q22" s="5" t="str">
        <f t="shared" si="7"/>
        <v xml:space="preserve">	lTmmRowTaskStrt As Long</v>
      </c>
      <c r="R22" s="5" t="str">
        <f t="shared" si="8"/>
        <v xml:space="preserve">	gtCRInfo.lTmmRowTaskStrt = ThisWorkbook.Sheets(SHT_NAME_TIME_MANAGE).Cells.Find(KWD_TMM_ROW_TASK_STRT, LookAt:=xlWhole).Row</v>
      </c>
      <c r="S22" s="11" t="s">
        <v>45</v>
      </c>
    </row>
    <row r="23" spans="1:19" x14ac:dyDescent="0.2">
      <c r="A23" s="4" t="s">
        <v>7</v>
      </c>
      <c r="B23" s="3" t="s">
        <v>103</v>
      </c>
      <c r="C23" s="3" t="s">
        <v>25</v>
      </c>
      <c r="D23" s="3" t="s">
        <v>11</v>
      </c>
      <c r="E23" s="5" t="str">
        <f t="shared" si="0"/>
        <v>ROW</v>
      </c>
      <c r="F23" s="5" t="str">
        <f t="shared" si="1"/>
        <v>Row</v>
      </c>
      <c r="G23" s="5" t="str">
        <f t="shared" si="2"/>
        <v>TIME_MANAGE</v>
      </c>
      <c r="H23" s="5" t="str">
        <f t="shared" si="3"/>
        <v>TMM</v>
      </c>
      <c r="I23" s="5" t="str">
        <f t="shared" si="4"/>
        <v>SHT_NAME_TIME_MANAGE</v>
      </c>
      <c r="J23" s="5" t="str">
        <f t="shared" si="5"/>
        <v>Tmm</v>
      </c>
      <c r="K23" s="5" t="str">
        <f t="shared" si="9"/>
        <v>Row</v>
      </c>
      <c r="L23" s="5" t="str">
        <f>[1]!ConvSnakeToPascal(C23)</f>
        <v>TaskLast</v>
      </c>
      <c r="M23" s="5" t="str">
        <f t="shared" si="6"/>
        <v>KWD_TMM_ROW_TASK_LAST</v>
      </c>
      <c r="N23" s="5" t="str">
        <f t="shared" si="10"/>
        <v>lTmmRowTaskLast</v>
      </c>
      <c r="O23" s="5" t="str">
        <f t="shared" si="11"/>
        <v>gtCRInfo</v>
      </c>
      <c r="P23" s="5" t="str">
        <f t="shared" si="12"/>
        <v>Public Const KWD_TMM_ROW_TASK_LAST As String = "行_タスク終了"</v>
      </c>
      <c r="Q23" s="5" t="str">
        <f t="shared" si="7"/>
        <v xml:space="preserve">	lTmmRowTaskLast As Long</v>
      </c>
      <c r="R23" s="5" t="str">
        <f t="shared" si="8"/>
        <v xml:space="preserve">	gtCRInfo.lTmmRowTaskLast = ThisWorkbook.Sheets(SHT_NAME_TIME_MANAGE).Cells.Find(KWD_TMM_ROW_TASK_LAST, LookAt:=xlWhole).Row</v>
      </c>
      <c r="S23" s="11" t="s">
        <v>45</v>
      </c>
    </row>
    <row r="24" spans="1:19" x14ac:dyDescent="0.2">
      <c r="A24" s="4" t="s">
        <v>6</v>
      </c>
      <c r="B24" s="3" t="s">
        <v>91</v>
      </c>
      <c r="C24" s="3" t="s">
        <v>32</v>
      </c>
      <c r="D24" s="3" t="s">
        <v>42</v>
      </c>
      <c r="E24" s="5" t="str">
        <f t="shared" si="0"/>
        <v>CLM</v>
      </c>
      <c r="F24" s="5" t="str">
        <f t="shared" si="1"/>
        <v>Column</v>
      </c>
      <c r="G24" s="5" t="str">
        <f t="shared" si="2"/>
        <v>TIME_TOTAL</v>
      </c>
      <c r="H24" s="5" t="str">
        <f t="shared" si="3"/>
        <v>TMT</v>
      </c>
      <c r="I24" s="5" t="str">
        <f t="shared" si="4"/>
        <v>SHT_NAME_TIME_TOTAL</v>
      </c>
      <c r="J24" s="5" t="str">
        <f t="shared" si="5"/>
        <v>Tmt</v>
      </c>
      <c r="K24" s="5" t="str">
        <f t="shared" si="9"/>
        <v>Clm</v>
      </c>
      <c r="L24" s="5" t="str">
        <f>[1]!ConvSnakeToPascal(C24)</f>
        <v>TaskCat</v>
      </c>
      <c r="M24" s="5" t="str">
        <f t="shared" si="6"/>
        <v>KWD_TMT_CLM_TASK_CAT</v>
      </c>
      <c r="N24" s="5" t="str">
        <f t="shared" si="10"/>
        <v>lTmtClmTaskCat</v>
      </c>
      <c r="O24" s="5" t="str">
        <f t="shared" si="11"/>
        <v>gtCRInfo</v>
      </c>
      <c r="P24" s="5" t="str">
        <f t="shared" si="12"/>
        <v>Public Const KWD_TMT_CLM_TASK_CAT As String = "列_タスクカテゴリ"</v>
      </c>
      <c r="Q24" s="5" t="str">
        <f t="shared" si="7"/>
        <v xml:space="preserve">	lTmtClmTaskCat As Long</v>
      </c>
      <c r="R24" s="5" t="str">
        <f t="shared" si="8"/>
        <v xml:space="preserve">	gtCRInfo.lTmtClmTaskCat = ThisWorkbook.Sheets(SHT_NAME_TIME_TOTAL).Cells.Find(KWD_TMT_CLM_TASK_CAT, LookAt:=xlWhole).Column</v>
      </c>
      <c r="S24" s="11" t="s">
        <v>45</v>
      </c>
    </row>
    <row r="25" spans="1:19" x14ac:dyDescent="0.2">
      <c r="A25" s="4" t="s">
        <v>6</v>
      </c>
      <c r="B25" s="3" t="s">
        <v>92</v>
      </c>
      <c r="C25" s="3" t="s">
        <v>33</v>
      </c>
      <c r="D25" s="3" t="s">
        <v>42</v>
      </c>
      <c r="E25" s="5" t="str">
        <f t="shared" si="0"/>
        <v>CLM</v>
      </c>
      <c r="F25" s="5" t="str">
        <f t="shared" si="1"/>
        <v>Column</v>
      </c>
      <c r="G25" s="5" t="str">
        <f t="shared" si="2"/>
        <v>TIME_TOTAL</v>
      </c>
      <c r="H25" s="5" t="str">
        <f t="shared" si="3"/>
        <v>TMT</v>
      </c>
      <c r="I25" s="5" t="str">
        <f t="shared" si="4"/>
        <v>SHT_NAME_TIME_TOTAL</v>
      </c>
      <c r="J25" s="5" t="str">
        <f t="shared" si="5"/>
        <v>Tmt</v>
      </c>
      <c r="K25" s="5" t="str">
        <f t="shared" si="9"/>
        <v>Clm</v>
      </c>
      <c r="L25" s="5" t="str">
        <f>[1]!ConvSnakeToPascal(C25)</f>
        <v>TaskLv1</v>
      </c>
      <c r="M25" s="5" t="str">
        <f t="shared" si="6"/>
        <v>KWD_TMT_CLM_TASK_LV1</v>
      </c>
      <c r="N25" s="5" t="str">
        <f t="shared" si="10"/>
        <v>lTmtClmTaskLv1</v>
      </c>
      <c r="O25" s="5" t="str">
        <f t="shared" si="11"/>
        <v>gtCRInfo</v>
      </c>
      <c r="P25" s="5" t="str">
        <f t="shared" si="12"/>
        <v>Public Const KWD_TMT_CLM_TASK_LV1 As String = "列_タスクレベル１"</v>
      </c>
      <c r="Q25" s="5" t="str">
        <f t="shared" si="7"/>
        <v xml:space="preserve">	lTmtClmTaskLv1 As Long</v>
      </c>
      <c r="R25" s="5" t="str">
        <f t="shared" si="8"/>
        <v xml:space="preserve">	gtCRInfo.lTmtClmTaskLv1 = ThisWorkbook.Sheets(SHT_NAME_TIME_TOTAL).Cells.Find(KWD_TMT_CLM_TASK_LV1, LookAt:=xlWhole).Column</v>
      </c>
      <c r="S25" s="11" t="s">
        <v>45</v>
      </c>
    </row>
    <row r="26" spans="1:19" x14ac:dyDescent="0.2">
      <c r="A26" s="4" t="s">
        <v>6</v>
      </c>
      <c r="B26" s="3" t="s">
        <v>93</v>
      </c>
      <c r="C26" s="3" t="s">
        <v>34</v>
      </c>
      <c r="D26" s="3" t="s">
        <v>29</v>
      </c>
      <c r="E26" s="5" t="str">
        <f t="shared" si="0"/>
        <v>CLM</v>
      </c>
      <c r="F26" s="5" t="str">
        <f t="shared" si="1"/>
        <v>Column</v>
      </c>
      <c r="G26" s="5" t="str">
        <f t="shared" si="2"/>
        <v>TIME_TOTAL</v>
      </c>
      <c r="H26" s="5" t="str">
        <f t="shared" si="3"/>
        <v>TMT</v>
      </c>
      <c r="I26" s="5" t="str">
        <f t="shared" si="4"/>
        <v>SHT_NAME_TIME_TOTAL</v>
      </c>
      <c r="J26" s="5" t="str">
        <f t="shared" si="5"/>
        <v>Tmt</v>
      </c>
      <c r="K26" s="5" t="str">
        <f t="shared" si="9"/>
        <v>Clm</v>
      </c>
      <c r="L26" s="5" t="str">
        <f>[1]!ConvSnakeToPascal(C26)</f>
        <v>TaskLv2</v>
      </c>
      <c r="M26" s="5" t="str">
        <f t="shared" si="6"/>
        <v>KWD_TMT_CLM_TASK_LV2</v>
      </c>
      <c r="N26" s="5" t="str">
        <f t="shared" si="10"/>
        <v>lTmtClmTaskLv2</v>
      </c>
      <c r="O26" s="5" t="str">
        <f t="shared" si="11"/>
        <v>gtCRInfo</v>
      </c>
      <c r="P26" s="5" t="str">
        <f t="shared" si="12"/>
        <v>Public Const KWD_TMT_CLM_TASK_LV2 As String = "列_タスクレベル２"</v>
      </c>
      <c r="Q26" s="5" t="str">
        <f t="shared" si="7"/>
        <v xml:space="preserve">	lTmtClmTaskLv2 As Long</v>
      </c>
      <c r="R26" s="5" t="str">
        <f t="shared" si="8"/>
        <v xml:space="preserve">	gtCRInfo.lTmtClmTaskLv2 = ThisWorkbook.Sheets(SHT_NAME_TIME_TOTAL).Cells.Find(KWD_TMT_CLM_TASK_LV2, LookAt:=xlWhole).Column</v>
      </c>
      <c r="S26" s="11" t="s">
        <v>45</v>
      </c>
    </row>
    <row r="27" spans="1:19" x14ac:dyDescent="0.2">
      <c r="A27" s="4" t="s">
        <v>6</v>
      </c>
      <c r="B27" s="3" t="s">
        <v>94</v>
      </c>
      <c r="C27" s="3" t="s">
        <v>35</v>
      </c>
      <c r="D27" s="3" t="s">
        <v>42</v>
      </c>
      <c r="E27" s="5" t="str">
        <f t="shared" si="0"/>
        <v>CLM</v>
      </c>
      <c r="F27" s="5" t="str">
        <f t="shared" si="1"/>
        <v>Column</v>
      </c>
      <c r="G27" s="5" t="str">
        <f t="shared" si="2"/>
        <v>TIME_TOTAL</v>
      </c>
      <c r="H27" s="5" t="str">
        <f t="shared" si="3"/>
        <v>TMT</v>
      </c>
      <c r="I27" s="5" t="str">
        <f t="shared" si="4"/>
        <v>SHT_NAME_TIME_TOTAL</v>
      </c>
      <c r="J27" s="5" t="str">
        <f t="shared" si="5"/>
        <v>Tmt</v>
      </c>
      <c r="K27" s="5" t="str">
        <f t="shared" si="9"/>
        <v>Clm</v>
      </c>
      <c r="L27" s="5" t="str">
        <f>[1]!ConvSnakeToPascal(C27)</f>
        <v>TaskLv3</v>
      </c>
      <c r="M27" s="5" t="str">
        <f t="shared" si="6"/>
        <v>KWD_TMT_CLM_TASK_LV3</v>
      </c>
      <c r="N27" s="5" t="str">
        <f t="shared" si="10"/>
        <v>lTmtClmTaskLv3</v>
      </c>
      <c r="O27" s="5" t="str">
        <f t="shared" si="11"/>
        <v>gtCRInfo</v>
      </c>
      <c r="P27" s="5" t="str">
        <f t="shared" si="12"/>
        <v>Public Const KWD_TMT_CLM_TASK_LV3 As String = "列_タスクレベル３"</v>
      </c>
      <c r="Q27" s="5" t="str">
        <f t="shared" si="7"/>
        <v xml:space="preserve">	lTmtClmTaskLv3 As Long</v>
      </c>
      <c r="R27" s="5" t="str">
        <f t="shared" si="8"/>
        <v xml:space="preserve">	gtCRInfo.lTmtClmTaskLv3 = ThisWorkbook.Sheets(SHT_NAME_TIME_TOTAL).Cells.Find(KWD_TMT_CLM_TASK_LV3, LookAt:=xlWhole).Column</v>
      </c>
      <c r="S27" s="11" t="s">
        <v>45</v>
      </c>
    </row>
    <row r="28" spans="1:19" x14ac:dyDescent="0.2">
      <c r="A28" s="4" t="s">
        <v>6</v>
      </c>
      <c r="B28" s="3" t="s">
        <v>89</v>
      </c>
      <c r="C28" s="3" t="s">
        <v>20</v>
      </c>
      <c r="D28" s="3" t="s">
        <v>42</v>
      </c>
      <c r="E28" s="5" t="str">
        <f t="shared" si="0"/>
        <v>CLM</v>
      </c>
      <c r="F28" s="5" t="str">
        <f t="shared" si="1"/>
        <v>Column</v>
      </c>
      <c r="G28" s="5" t="str">
        <f t="shared" si="2"/>
        <v>TIME_TOTAL</v>
      </c>
      <c r="H28" s="5" t="str">
        <f t="shared" si="3"/>
        <v>TMT</v>
      </c>
      <c r="I28" s="5" t="str">
        <f t="shared" si="4"/>
        <v>SHT_NAME_TIME_TOTAL</v>
      </c>
      <c r="J28" s="5" t="str">
        <f t="shared" si="5"/>
        <v>Tmt</v>
      </c>
      <c r="K28" s="5" t="str">
        <f t="shared" si="9"/>
        <v>Clm</v>
      </c>
      <c r="L28" s="5" t="str">
        <f>[1]!ConvSnakeToPascal(C28)</f>
        <v>Shedorrslt</v>
      </c>
      <c r="M28" s="5" t="str">
        <f t="shared" si="6"/>
        <v>KWD_TMT_CLM_SHEDORRSLT</v>
      </c>
      <c r="N28" s="5" t="str">
        <f t="shared" si="10"/>
        <v>lTmtClmShedorrslt</v>
      </c>
      <c r="O28" s="5" t="str">
        <f t="shared" si="11"/>
        <v>gtCRInfo</v>
      </c>
      <c r="P28" s="5" t="str">
        <f t="shared" si="12"/>
        <v>Public Const KWD_TMT_CLM_SHEDORRSLT As String = "列_予実"</v>
      </c>
      <c r="Q28" s="5" t="str">
        <f t="shared" si="7"/>
        <v xml:space="preserve">	lTmtClmShedorrslt As Long</v>
      </c>
      <c r="R28" s="5" t="str">
        <f t="shared" si="8"/>
        <v xml:space="preserve">	gtCRInfo.lTmtClmShedorrslt = ThisWorkbook.Sheets(SHT_NAME_TIME_TOTAL).Cells.Find(KWD_TMT_CLM_SHEDORRSLT, LookAt:=xlWhole).Column</v>
      </c>
      <c r="S28" s="11" t="s">
        <v>45</v>
      </c>
    </row>
    <row r="29" spans="1:19" x14ac:dyDescent="0.2">
      <c r="A29" s="4" t="s">
        <v>6</v>
      </c>
      <c r="B29" s="3" t="s">
        <v>90</v>
      </c>
      <c r="C29" s="3" t="s">
        <v>31</v>
      </c>
      <c r="D29" s="3" t="s">
        <v>42</v>
      </c>
      <c r="E29" s="5" t="str">
        <f t="shared" si="0"/>
        <v>CLM</v>
      </c>
      <c r="F29" s="5" t="str">
        <f t="shared" si="1"/>
        <v>Column</v>
      </c>
      <c r="G29" s="5" t="str">
        <f t="shared" si="2"/>
        <v>TIME_TOTAL</v>
      </c>
      <c r="H29" s="5" t="str">
        <f t="shared" si="3"/>
        <v>TMT</v>
      </c>
      <c r="I29" s="5" t="str">
        <f t="shared" si="4"/>
        <v>SHT_NAME_TIME_TOTAL</v>
      </c>
      <c r="J29" s="5" t="str">
        <f t="shared" si="5"/>
        <v>Tmt</v>
      </c>
      <c r="K29" s="5" t="str">
        <f t="shared" si="9"/>
        <v>Clm</v>
      </c>
      <c r="L29" s="5" t="str">
        <f>[1]!ConvSnakeToPascal(C29)</f>
        <v>Timetotal</v>
      </c>
      <c r="M29" s="5" t="str">
        <f t="shared" si="6"/>
        <v>KWD_TMT_CLM_TIMETOTAL</v>
      </c>
      <c r="N29" s="5" t="str">
        <f t="shared" si="10"/>
        <v>lTmtClmTimetotal</v>
      </c>
      <c r="O29" s="5" t="str">
        <f t="shared" si="11"/>
        <v>gtCRInfo</v>
      </c>
      <c r="P29" s="5" t="str">
        <f t="shared" si="12"/>
        <v>Public Const KWD_TMT_CLM_TIMETOTAL As String = "列_合計"</v>
      </c>
      <c r="Q29" s="5" t="str">
        <f t="shared" si="7"/>
        <v xml:space="preserve">	lTmtClmTimetotal As Long</v>
      </c>
      <c r="R29" s="5" t="str">
        <f t="shared" si="8"/>
        <v xml:space="preserve">	gtCRInfo.lTmtClmTimetotal = ThisWorkbook.Sheets(SHT_NAME_TIME_TOTAL).Cells.Find(KWD_TMT_CLM_TIMETOTAL, LookAt:=xlWhole).Column</v>
      </c>
      <c r="S29" s="11" t="s">
        <v>45</v>
      </c>
    </row>
    <row r="30" spans="1:19" x14ac:dyDescent="0.2">
      <c r="A30" s="4" t="s">
        <v>6</v>
      </c>
      <c r="B30" s="3" t="s">
        <v>95</v>
      </c>
      <c r="C30" s="3" t="s">
        <v>36</v>
      </c>
      <c r="D30" s="3" t="s">
        <v>42</v>
      </c>
      <c r="E30" s="5" t="str">
        <f t="shared" si="0"/>
        <v>CLM</v>
      </c>
      <c r="F30" s="5" t="str">
        <f t="shared" si="1"/>
        <v>Column</v>
      </c>
      <c r="G30" s="5" t="str">
        <f t="shared" si="2"/>
        <v>TIME_TOTAL</v>
      </c>
      <c r="H30" s="5" t="str">
        <f t="shared" si="3"/>
        <v>TMT</v>
      </c>
      <c r="I30" s="5" t="str">
        <f t="shared" si="4"/>
        <v>SHT_NAME_TIME_TOTAL</v>
      </c>
      <c r="J30" s="5" t="str">
        <f t="shared" si="5"/>
        <v>Tmt</v>
      </c>
      <c r="K30" s="5" t="str">
        <f t="shared" si="9"/>
        <v>Clm</v>
      </c>
      <c r="L30" s="5" t="str">
        <f>[1]!ConvSnakeToPascal(C30)</f>
        <v>Timeave</v>
      </c>
      <c r="M30" s="5" t="str">
        <f t="shared" si="6"/>
        <v>KWD_TMT_CLM_TIMEAVE</v>
      </c>
      <c r="N30" s="5" t="str">
        <f t="shared" si="10"/>
        <v>lTmtClmTimeave</v>
      </c>
      <c r="O30" s="5" t="str">
        <f t="shared" si="11"/>
        <v>gtCRInfo</v>
      </c>
      <c r="P30" s="5" t="str">
        <f t="shared" si="12"/>
        <v>Public Const KWD_TMT_CLM_TIMEAVE As String = "列_平均"</v>
      </c>
      <c r="Q30" s="5" t="str">
        <f t="shared" si="7"/>
        <v xml:space="preserve">	lTmtClmTimeave As Long</v>
      </c>
      <c r="R30" s="5" t="str">
        <f t="shared" si="8"/>
        <v xml:space="preserve">	gtCRInfo.lTmtClmTimeave = ThisWorkbook.Sheets(SHT_NAME_TIME_TOTAL).Cells.Find(KWD_TMT_CLM_TIMEAVE, LookAt:=xlWhole).Column</v>
      </c>
      <c r="S30" s="11" t="s">
        <v>45</v>
      </c>
    </row>
    <row r="31" spans="1:19" x14ac:dyDescent="0.2">
      <c r="A31" s="4" t="s">
        <v>6</v>
      </c>
      <c r="B31" s="3" t="s">
        <v>87</v>
      </c>
      <c r="C31" s="3" t="s">
        <v>72</v>
      </c>
      <c r="D31" s="3" t="s">
        <v>42</v>
      </c>
      <c r="E31" s="5" t="str">
        <f t="shared" si="0"/>
        <v>CLM</v>
      </c>
      <c r="F31" s="5" t="str">
        <f t="shared" si="1"/>
        <v>Column</v>
      </c>
      <c r="G31" s="5" t="str">
        <f t="shared" si="2"/>
        <v>TIME_TOTAL</v>
      </c>
      <c r="H31" s="5" t="str">
        <f t="shared" si="3"/>
        <v>TMT</v>
      </c>
      <c r="I31" s="5" t="str">
        <f t="shared" si="4"/>
        <v>SHT_NAME_TIME_TOTAL</v>
      </c>
      <c r="J31" s="5" t="str">
        <f t="shared" si="5"/>
        <v>Tmt</v>
      </c>
      <c r="K31" s="5" t="str">
        <f t="shared" si="9"/>
        <v>Clm</v>
      </c>
      <c r="L31" s="5" t="str">
        <f>[1]!ConvSnakeToPascal(C31)</f>
        <v>Timecnt</v>
      </c>
      <c r="M31" s="5" t="str">
        <f t="shared" si="6"/>
        <v>KWD_TMT_CLM_TIMECNT</v>
      </c>
      <c r="N31" s="5" t="str">
        <f t="shared" si="10"/>
        <v>lTmtClmTimecnt</v>
      </c>
      <c r="O31" s="5" t="str">
        <f t="shared" si="11"/>
        <v>gtCRInfo</v>
      </c>
      <c r="P31" s="5" t="str">
        <f t="shared" si="12"/>
        <v>Public Const KWD_TMT_CLM_TIMECNT As String = "列_件数"</v>
      </c>
      <c r="Q31" s="5" t="str">
        <f t="shared" si="7"/>
        <v xml:space="preserve">	lTmtClmTimecnt As Long</v>
      </c>
      <c r="R31" s="5" t="str">
        <f t="shared" si="8"/>
        <v xml:space="preserve">	gtCRInfo.lTmtClmTimecnt = ThisWorkbook.Sheets(SHT_NAME_TIME_TOTAL).Cells.Find(KWD_TMT_CLM_TIMECNT, LookAt:=xlWhole).Column</v>
      </c>
      <c r="S31" s="11" t="s">
        <v>45</v>
      </c>
    </row>
    <row r="32" spans="1:19" x14ac:dyDescent="0.2">
      <c r="A32" s="4" t="s">
        <v>7</v>
      </c>
      <c r="B32" s="3" t="s">
        <v>101</v>
      </c>
      <c r="C32" s="3" t="s">
        <v>1</v>
      </c>
      <c r="D32" s="3" t="s">
        <v>42</v>
      </c>
      <c r="E32" s="5" t="str">
        <f t="shared" ref="E32:E41" si="25">IF($A32="列","CLM",IF($A32="行","ROW",""))</f>
        <v>ROW</v>
      </c>
      <c r="F32" s="5" t="str">
        <f t="shared" ref="F32:F41" si="26">IF($A32="列","Column",IF($A32="行","Row",""))</f>
        <v>Row</v>
      </c>
      <c r="G32" s="5" t="str">
        <f t="shared" si="2"/>
        <v>TIME_TOTAL</v>
      </c>
      <c r="H32" s="5" t="str">
        <f t="shared" si="3"/>
        <v>TMT</v>
      </c>
      <c r="I32" s="5" t="str">
        <f t="shared" si="4"/>
        <v>SHT_NAME_TIME_TOTAL</v>
      </c>
      <c r="J32" s="5" t="str">
        <f t="shared" si="5"/>
        <v>Tmt</v>
      </c>
      <c r="K32" s="5" t="str">
        <f t="shared" ref="K32:K33" si="27">PROPER(E32)</f>
        <v>Row</v>
      </c>
      <c r="L32" s="5" t="str">
        <f>[1]!ConvSnakeToPascal(C32)</f>
        <v>Title</v>
      </c>
      <c r="M32" s="5" t="str">
        <f t="shared" si="6"/>
        <v>KWD_TMT_ROW_TITLE</v>
      </c>
      <c r="N32" s="5" t="str">
        <f t="shared" si="10"/>
        <v>lTmtRowTitle</v>
      </c>
      <c r="O32" s="5" t="str">
        <f t="shared" si="11"/>
        <v>gtCRInfo</v>
      </c>
      <c r="P32" s="5" t="str">
        <f t="shared" si="12"/>
        <v>Public Const KWD_TMT_ROW_TITLE As String = "行_タイトル"</v>
      </c>
      <c r="Q32" s="5" t="str">
        <f t="shared" si="7"/>
        <v xml:space="preserve">	lTmtRowTitle As Long</v>
      </c>
      <c r="R32" s="5" t="str">
        <f t="shared" si="8"/>
        <v xml:space="preserve">	gtCRInfo.lTmtRowTitle = ThisWorkbook.Sheets(SHT_NAME_TIME_TOTAL).Cells.Find(KWD_TMT_ROW_TITLE, LookAt:=xlWhole).Row</v>
      </c>
      <c r="S32" s="11" t="s">
        <v>45</v>
      </c>
    </row>
    <row r="33" spans="1:19" x14ac:dyDescent="0.2">
      <c r="A33" s="4" t="s">
        <v>7</v>
      </c>
      <c r="B33" s="3" t="s">
        <v>102</v>
      </c>
      <c r="C33" s="3" t="s">
        <v>24</v>
      </c>
      <c r="D33" s="3" t="s">
        <v>42</v>
      </c>
      <c r="E33" s="5" t="str">
        <f t="shared" si="25"/>
        <v>ROW</v>
      </c>
      <c r="F33" s="5" t="str">
        <f t="shared" si="26"/>
        <v>Row</v>
      </c>
      <c r="G33" s="5" t="str">
        <f t="shared" si="2"/>
        <v>TIME_TOTAL</v>
      </c>
      <c r="H33" s="5" t="str">
        <f t="shared" si="3"/>
        <v>TMT</v>
      </c>
      <c r="I33" s="5" t="str">
        <f t="shared" si="4"/>
        <v>SHT_NAME_TIME_TOTAL</v>
      </c>
      <c r="J33" s="5" t="str">
        <f t="shared" si="5"/>
        <v>Tmt</v>
      </c>
      <c r="K33" s="5" t="str">
        <f t="shared" si="27"/>
        <v>Row</v>
      </c>
      <c r="L33" s="5" t="str">
        <f>[1]!ConvSnakeToPascal(C33)</f>
        <v>TaskStrt</v>
      </c>
      <c r="M33" s="5" t="str">
        <f t="shared" si="6"/>
        <v>KWD_TMT_ROW_TASK_STRT</v>
      </c>
      <c r="N33" s="5" t="str">
        <f t="shared" si="10"/>
        <v>lTmtRowTaskStrt</v>
      </c>
      <c r="O33" s="5" t="str">
        <f t="shared" si="11"/>
        <v>gtCRInfo</v>
      </c>
      <c r="P33" s="5" t="str">
        <f t="shared" si="12"/>
        <v>Public Const KWD_TMT_ROW_TASK_STRT As String = "行_タスク開始"</v>
      </c>
      <c r="Q33" s="5" t="str">
        <f t="shared" si="7"/>
        <v xml:space="preserve">	lTmtRowTaskStrt As Long</v>
      </c>
      <c r="R33" s="5" t="str">
        <f t="shared" si="8"/>
        <v xml:space="preserve">	gtCRInfo.lTmtRowTaskStrt = ThisWorkbook.Sheets(SHT_NAME_TIME_TOTAL).Cells.Find(KWD_TMT_ROW_TASK_STRT, LookAt:=xlWhole).Row</v>
      </c>
      <c r="S33" s="11" t="s">
        <v>45</v>
      </c>
    </row>
    <row r="34" spans="1:19" x14ac:dyDescent="0.2">
      <c r="A34" s="4" t="s">
        <v>7</v>
      </c>
      <c r="B34" s="3" t="s">
        <v>103</v>
      </c>
      <c r="C34" s="3" t="s">
        <v>25</v>
      </c>
      <c r="D34" s="3" t="s">
        <v>42</v>
      </c>
      <c r="E34" s="5" t="str">
        <f t="shared" si="25"/>
        <v>ROW</v>
      </c>
      <c r="F34" s="5" t="str">
        <f t="shared" si="26"/>
        <v>Row</v>
      </c>
      <c r="G34" s="5" t="str">
        <f t="shared" si="2"/>
        <v>TIME_TOTAL</v>
      </c>
      <c r="H34" s="5" t="str">
        <f t="shared" si="3"/>
        <v>TMT</v>
      </c>
      <c r="I34" s="5" t="str">
        <f t="shared" si="4"/>
        <v>SHT_NAME_TIME_TOTAL</v>
      </c>
      <c r="J34" s="5" t="str">
        <f t="shared" ref="J34:J41" si="28">PROPER(H34)</f>
        <v>Tmt</v>
      </c>
      <c r="K34" s="5" t="str">
        <f t="shared" si="9"/>
        <v>Row</v>
      </c>
      <c r="L34" s="5" t="str">
        <f>[1]!ConvSnakeToPascal(C34)</f>
        <v>TaskLast</v>
      </c>
      <c r="M34" s="5" t="str">
        <f t="shared" ref="M34:M41" si="29">"KWD_"&amp;$H34&amp;"_"&amp;E34&amp;"_"&amp;$C34</f>
        <v>KWD_TMT_ROW_TASK_LAST</v>
      </c>
      <c r="N34" s="5" t="str">
        <f t="shared" ref="N34:N41" si="30">"l"&amp;J34&amp;K34&amp;L34</f>
        <v>lTmtRowTaskLast</v>
      </c>
      <c r="O34" s="5" t="str">
        <f t="shared" si="11"/>
        <v>gtCRInfo</v>
      </c>
      <c r="P34" s="5" t="str">
        <f t="shared" si="12"/>
        <v>Public Const KWD_TMT_ROW_TASK_LAST As String = "行_タスク終了"</v>
      </c>
      <c r="Q34" s="5" t="str">
        <f t="shared" ref="Q34:Q41" si="31">IF($B34="","",CHAR(9)&amp;N34&amp;" As Long")</f>
        <v xml:space="preserve">	lTmtRowTaskLast As Long</v>
      </c>
      <c r="R34" s="5" t="str">
        <f t="shared" ref="R34:R41" si="32">IF($B34="","",CHAR(9)&amp;$O34&amp;"."&amp;$N34&amp;" = ThisWorkbook.Sheets("&amp;$I34&amp;").Cells.Find("&amp;M34&amp;", LookAt:=xlWhole)."&amp;F34)</f>
        <v xml:space="preserve">	gtCRInfo.lTmtRowTaskLast = ThisWorkbook.Sheets(SHT_NAME_TIME_TOTAL).Cells.Find(KWD_TMT_ROW_TASK_LAST, LookAt:=xlWhole).Row</v>
      </c>
      <c r="S34" s="11" t="s">
        <v>45</v>
      </c>
    </row>
    <row r="35" spans="1:19" x14ac:dyDescent="0.2">
      <c r="A35" s="4" t="s">
        <v>7</v>
      </c>
      <c r="B35" s="3" t="s">
        <v>101</v>
      </c>
      <c r="C35" s="3" t="s">
        <v>1</v>
      </c>
      <c r="D35" s="3" t="s">
        <v>37</v>
      </c>
      <c r="E35" s="5" t="str">
        <f t="shared" si="25"/>
        <v>ROW</v>
      </c>
      <c r="F35" s="5" t="str">
        <f t="shared" si="26"/>
        <v>Row</v>
      </c>
      <c r="G35" s="5" t="str">
        <f t="shared" si="2"/>
        <v>HOLIDAY_LIST</v>
      </c>
      <c r="H35" s="5" t="str">
        <f t="shared" si="3"/>
        <v>HLD</v>
      </c>
      <c r="I35" s="5" t="str">
        <f t="shared" si="4"/>
        <v>SHT_NAME_HOLIDAY_LIST</v>
      </c>
      <c r="J35" s="5" t="str">
        <f t="shared" si="28"/>
        <v>Hld</v>
      </c>
      <c r="K35" s="5" t="str">
        <f t="shared" si="9"/>
        <v>Row</v>
      </c>
      <c r="L35" s="5" t="str">
        <f>[1]!ConvSnakeToPascal(C35)</f>
        <v>Title</v>
      </c>
      <c r="M35" s="5" t="str">
        <f t="shared" si="29"/>
        <v>KWD_HLD_ROW_TITLE</v>
      </c>
      <c r="N35" s="5" t="str">
        <f t="shared" si="30"/>
        <v>lHldRowTitle</v>
      </c>
      <c r="O35" s="5" t="str">
        <f t="shared" si="11"/>
        <v>gtCRInfo</v>
      </c>
      <c r="P35" s="5" t="str">
        <f t="shared" si="12"/>
        <v>Public Const KWD_HLD_ROW_TITLE As String = "行_タイトル"</v>
      </c>
      <c r="Q35" s="5" t="str">
        <f t="shared" si="31"/>
        <v xml:space="preserve">	lHldRowTitle As Long</v>
      </c>
      <c r="R35" s="5" t="str">
        <f t="shared" si="32"/>
        <v xml:space="preserve">	gtCRInfo.lHldRowTitle = ThisWorkbook.Sheets(SHT_NAME_HOLIDAY_LIST).Cells.Find(KWD_HLD_ROW_TITLE, LookAt:=xlWhole).Row</v>
      </c>
      <c r="S35" s="11" t="s">
        <v>45</v>
      </c>
    </row>
    <row r="36" spans="1:19" x14ac:dyDescent="0.2">
      <c r="A36" s="4" t="s">
        <v>7</v>
      </c>
      <c r="B36" s="3" t="s">
        <v>104</v>
      </c>
      <c r="C36" s="3" t="s">
        <v>56</v>
      </c>
      <c r="D36" s="3" t="s">
        <v>37</v>
      </c>
      <c r="E36" s="5" t="str">
        <f t="shared" si="25"/>
        <v>ROW</v>
      </c>
      <c r="F36" s="5" t="str">
        <f t="shared" si="26"/>
        <v>Row</v>
      </c>
      <c r="G36" s="5" t="str">
        <f t="shared" si="2"/>
        <v>HOLIDAY_LIST</v>
      </c>
      <c r="H36" s="5" t="str">
        <f t="shared" si="3"/>
        <v>HLD</v>
      </c>
      <c r="I36" s="5" t="str">
        <f t="shared" si="4"/>
        <v>SHT_NAME_HOLIDAY_LIST</v>
      </c>
      <c r="J36" s="5" t="str">
        <f t="shared" si="28"/>
        <v>Hld</v>
      </c>
      <c r="K36" s="5" t="str">
        <f t="shared" si="9"/>
        <v>Row</v>
      </c>
      <c r="L36" s="5" t="str">
        <f>[1]!ConvSnakeToPascal(C36)</f>
        <v>HoliStrt</v>
      </c>
      <c r="M36" s="5" t="str">
        <f t="shared" si="29"/>
        <v>KWD_HLD_ROW_HOLI_STRT</v>
      </c>
      <c r="N36" s="5" t="str">
        <f t="shared" si="30"/>
        <v>lHldRowHoliStrt</v>
      </c>
      <c r="O36" s="5" t="str">
        <f t="shared" si="11"/>
        <v>gtCRInfo</v>
      </c>
      <c r="P36" s="5" t="str">
        <f t="shared" si="12"/>
        <v>Public Const KWD_HLD_ROW_HOLI_STRT As String = "行_休日開始"</v>
      </c>
      <c r="Q36" s="5" t="str">
        <f t="shared" si="31"/>
        <v xml:space="preserve">	lHldRowHoliStrt As Long</v>
      </c>
      <c r="R36" s="5" t="str">
        <f t="shared" si="32"/>
        <v xml:space="preserve">	gtCRInfo.lHldRowHoliStrt = ThisWorkbook.Sheets(SHT_NAME_HOLIDAY_LIST).Cells.Find(KWD_HLD_ROW_HOLI_STRT, LookAt:=xlWhole).Row</v>
      </c>
      <c r="S36" s="11" t="s">
        <v>45</v>
      </c>
    </row>
    <row r="37" spans="1:19" x14ac:dyDescent="0.2">
      <c r="A37" s="4" t="s">
        <v>7</v>
      </c>
      <c r="B37" s="3" t="s">
        <v>105</v>
      </c>
      <c r="C37" s="3" t="s">
        <v>57</v>
      </c>
      <c r="D37" s="3" t="s">
        <v>37</v>
      </c>
      <c r="E37" s="5" t="str">
        <f t="shared" si="25"/>
        <v>ROW</v>
      </c>
      <c r="F37" s="5" t="str">
        <f t="shared" si="26"/>
        <v>Row</v>
      </c>
      <c r="G37" s="5" t="str">
        <f t="shared" si="2"/>
        <v>HOLIDAY_LIST</v>
      </c>
      <c r="H37" s="5" t="str">
        <f t="shared" si="3"/>
        <v>HLD</v>
      </c>
      <c r="I37" s="5" t="str">
        <f t="shared" si="4"/>
        <v>SHT_NAME_HOLIDAY_LIST</v>
      </c>
      <c r="J37" s="5" t="str">
        <f t="shared" si="28"/>
        <v>Hld</v>
      </c>
      <c r="K37" s="5" t="str">
        <f t="shared" si="9"/>
        <v>Row</v>
      </c>
      <c r="L37" s="5" t="str">
        <f>[1]!ConvSnakeToPascal(C37)</f>
        <v>HoliLast</v>
      </c>
      <c r="M37" s="5" t="str">
        <f t="shared" si="29"/>
        <v>KWD_HLD_ROW_HOLI_LAST</v>
      </c>
      <c r="N37" s="5" t="str">
        <f t="shared" si="30"/>
        <v>lHldRowHoliLast</v>
      </c>
      <c r="O37" s="5" t="str">
        <f t="shared" si="11"/>
        <v>gtCRInfo</v>
      </c>
      <c r="P37" s="5" t="str">
        <f t="shared" si="12"/>
        <v>Public Const KWD_HLD_ROW_HOLI_LAST As String = "行_休日終了"</v>
      </c>
      <c r="Q37" s="5" t="str">
        <f t="shared" si="31"/>
        <v xml:space="preserve">	lHldRowHoliLast As Long</v>
      </c>
      <c r="R37" s="5" t="str">
        <f t="shared" si="32"/>
        <v xml:space="preserve">	gtCRInfo.lHldRowHoliLast = ThisWorkbook.Sheets(SHT_NAME_HOLIDAY_LIST).Cells.Find(KWD_HLD_ROW_HOLI_LAST, LookAt:=xlWhole).Row</v>
      </c>
      <c r="S37" s="11" t="s">
        <v>45</v>
      </c>
    </row>
    <row r="38" spans="1:19" x14ac:dyDescent="0.2">
      <c r="A38" s="4" t="s">
        <v>5</v>
      </c>
      <c r="B38" s="3" t="s">
        <v>96</v>
      </c>
      <c r="C38" s="3" t="s">
        <v>23</v>
      </c>
      <c r="D38" s="3" t="s">
        <v>37</v>
      </c>
      <c r="E38" s="5" t="str">
        <f t="shared" si="25"/>
        <v>CLM</v>
      </c>
      <c r="F38" s="5" t="str">
        <f t="shared" si="26"/>
        <v>Column</v>
      </c>
      <c r="G38" s="5" t="str">
        <f t="shared" si="2"/>
        <v>HOLIDAY_LIST</v>
      </c>
      <c r="H38" s="5" t="str">
        <f t="shared" si="3"/>
        <v>HLD</v>
      </c>
      <c r="I38" s="5" t="str">
        <f t="shared" si="4"/>
        <v>SHT_NAME_HOLIDAY_LIST</v>
      </c>
      <c r="J38" s="5" t="str">
        <f t="shared" si="28"/>
        <v>Hld</v>
      </c>
      <c r="K38" s="5" t="str">
        <f t="shared" si="9"/>
        <v>Clm</v>
      </c>
      <c r="L38" s="5" t="str">
        <f>[1]!ConvSnakeToPascal(C38)</f>
        <v>Date</v>
      </c>
      <c r="M38" s="5" t="str">
        <f t="shared" si="29"/>
        <v>KWD_HLD_CLM_DATE</v>
      </c>
      <c r="N38" s="5" t="str">
        <f t="shared" si="30"/>
        <v>lHldClmDate</v>
      </c>
      <c r="O38" s="5" t="str">
        <f t="shared" si="11"/>
        <v>gtCRInfo</v>
      </c>
      <c r="P38" s="5" t="str">
        <f t="shared" si="12"/>
        <v>Public Const KWD_HLD_CLM_DATE As String = "列_日付"</v>
      </c>
      <c r="Q38" s="5" t="str">
        <f t="shared" si="31"/>
        <v xml:space="preserve">	lHldClmDate As Long</v>
      </c>
      <c r="R38" s="5" t="str">
        <f t="shared" si="32"/>
        <v xml:space="preserve">	gtCRInfo.lHldClmDate = ThisWorkbook.Sheets(SHT_NAME_HOLIDAY_LIST).Cells.Find(KWD_HLD_CLM_DATE, LookAt:=xlWhole).Column</v>
      </c>
      <c r="S38" s="11" t="s">
        <v>45</v>
      </c>
    </row>
    <row r="39" spans="1:19" x14ac:dyDescent="0.2">
      <c r="A39" s="4" t="s">
        <v>5</v>
      </c>
      <c r="B39" s="3" t="s">
        <v>97</v>
      </c>
      <c r="C39" s="3" t="s">
        <v>58</v>
      </c>
      <c r="D39" s="3" t="s">
        <v>37</v>
      </c>
      <c r="E39" s="5" t="str">
        <f t="shared" si="25"/>
        <v>CLM</v>
      </c>
      <c r="F39" s="5" t="str">
        <f t="shared" si="26"/>
        <v>Column</v>
      </c>
      <c r="G39" s="5" t="str">
        <f t="shared" si="2"/>
        <v>HOLIDAY_LIST</v>
      </c>
      <c r="H39" s="5" t="str">
        <f t="shared" si="3"/>
        <v>HLD</v>
      </c>
      <c r="I39" s="5" t="str">
        <f t="shared" si="4"/>
        <v>SHT_NAME_HOLIDAY_LIST</v>
      </c>
      <c r="J39" s="5" t="str">
        <f t="shared" si="28"/>
        <v>Hld</v>
      </c>
      <c r="K39" s="5" t="str">
        <f t="shared" si="9"/>
        <v>Clm</v>
      </c>
      <c r="L39" s="5" t="str">
        <f>[1]!ConvSnakeToPascal(C39)</f>
        <v>Type</v>
      </c>
      <c r="M39" s="5" t="str">
        <f t="shared" si="29"/>
        <v>KWD_HLD_CLM_TYPE</v>
      </c>
      <c r="N39" s="5" t="str">
        <f t="shared" si="30"/>
        <v>lHldClmType</v>
      </c>
      <c r="O39" s="5" t="str">
        <f t="shared" si="11"/>
        <v>gtCRInfo</v>
      </c>
      <c r="P39" s="5" t="str">
        <f t="shared" si="12"/>
        <v>Public Const KWD_HLD_CLM_TYPE As String = "列_種別"</v>
      </c>
      <c r="Q39" s="5" t="str">
        <f t="shared" si="31"/>
        <v xml:space="preserve">	lHldClmType As Long</v>
      </c>
      <c r="R39" s="5" t="str">
        <f t="shared" si="32"/>
        <v xml:space="preserve">	gtCRInfo.lHldClmType = ThisWorkbook.Sheets(SHT_NAME_HOLIDAY_LIST).Cells.Find(KWD_HLD_CLM_TYPE, LookAt:=xlWhole).Column</v>
      </c>
      <c r="S39" s="11" t="s">
        <v>45</v>
      </c>
    </row>
    <row r="40" spans="1:19" x14ac:dyDescent="0.2">
      <c r="A40" s="4" t="s">
        <v>5</v>
      </c>
      <c r="B40" s="3" t="s">
        <v>98</v>
      </c>
      <c r="C40" s="3" t="s">
        <v>59</v>
      </c>
      <c r="D40" s="3" t="s">
        <v>37</v>
      </c>
      <c r="E40" s="5" t="str">
        <f t="shared" si="25"/>
        <v>CLM</v>
      </c>
      <c r="F40" s="5" t="str">
        <f t="shared" si="26"/>
        <v>Column</v>
      </c>
      <c r="G40" s="5" t="str">
        <f t="shared" si="2"/>
        <v>HOLIDAY_LIST</v>
      </c>
      <c r="H40" s="5" t="str">
        <f t="shared" si="3"/>
        <v>HLD</v>
      </c>
      <c r="I40" s="5" t="str">
        <f t="shared" si="4"/>
        <v>SHT_NAME_HOLIDAY_LIST</v>
      </c>
      <c r="J40" s="5" t="str">
        <f t="shared" si="28"/>
        <v>Hld</v>
      </c>
      <c r="K40" s="5" t="str">
        <f t="shared" si="9"/>
        <v>Clm</v>
      </c>
      <c r="L40" s="5" t="str">
        <f>[1]!ConvSnakeToPascal(C40)</f>
        <v>Cate</v>
      </c>
      <c r="M40" s="5" t="str">
        <f t="shared" si="29"/>
        <v>KWD_HLD_CLM_CATE</v>
      </c>
      <c r="N40" s="5" t="str">
        <f t="shared" si="30"/>
        <v>lHldClmCate</v>
      </c>
      <c r="O40" s="5" t="str">
        <f t="shared" si="11"/>
        <v>gtCRInfo</v>
      </c>
      <c r="P40" s="5" t="str">
        <f t="shared" si="12"/>
        <v>Public Const KWD_HLD_CLM_CATE As String = "列_カテゴリ"</v>
      </c>
      <c r="Q40" s="5" t="str">
        <f t="shared" si="31"/>
        <v xml:space="preserve">	lHldClmCate As Long</v>
      </c>
      <c r="R40" s="5" t="str">
        <f t="shared" si="32"/>
        <v xml:space="preserve">	gtCRInfo.lHldClmCate = ThisWorkbook.Sheets(SHT_NAME_HOLIDAY_LIST).Cells.Find(KWD_HLD_CLM_CATE, LookAt:=xlWhole).Column</v>
      </c>
      <c r="S40" s="11" t="s">
        <v>45</v>
      </c>
    </row>
    <row r="41" spans="1:19" x14ac:dyDescent="0.2">
      <c r="A41" s="4" t="s">
        <v>5</v>
      </c>
      <c r="B41" s="3" t="s">
        <v>99</v>
      </c>
      <c r="C41" s="3" t="s">
        <v>60</v>
      </c>
      <c r="D41" s="3" t="s">
        <v>37</v>
      </c>
      <c r="E41" s="5" t="str">
        <f t="shared" si="25"/>
        <v>CLM</v>
      </c>
      <c r="F41" s="5" t="str">
        <f t="shared" si="26"/>
        <v>Column</v>
      </c>
      <c r="G41" s="5" t="str">
        <f t="shared" si="2"/>
        <v>HOLIDAY_LIST</v>
      </c>
      <c r="H41" s="5" t="str">
        <f t="shared" si="3"/>
        <v>HLD</v>
      </c>
      <c r="I41" s="5" t="str">
        <f t="shared" si="4"/>
        <v>SHT_NAME_HOLIDAY_LIST</v>
      </c>
      <c r="J41" s="5" t="str">
        <f t="shared" si="28"/>
        <v>Hld</v>
      </c>
      <c r="K41" s="5" t="str">
        <f t="shared" si="9"/>
        <v>Clm</v>
      </c>
      <c r="L41" s="5" t="str">
        <f>[1]!ConvSnakeToPascal(C41)</f>
        <v>Context</v>
      </c>
      <c r="M41" s="5" t="str">
        <f t="shared" si="29"/>
        <v>KWD_HLD_CLM_CONTEXT</v>
      </c>
      <c r="N41" s="5" t="str">
        <f t="shared" si="30"/>
        <v>lHldClmContext</v>
      </c>
      <c r="O41" s="5" t="str">
        <f t="shared" si="11"/>
        <v>gtCRInfo</v>
      </c>
      <c r="P41" s="5" t="str">
        <f t="shared" si="12"/>
        <v>Public Const KWD_HLD_CLM_CONTEXT As String = "列_説明"</v>
      </c>
      <c r="Q41" s="5" t="str">
        <f t="shared" si="31"/>
        <v xml:space="preserve">	lHldClmContext As Long</v>
      </c>
      <c r="R41" s="5" t="str">
        <f t="shared" si="32"/>
        <v xml:space="preserve">	gtCRInfo.lHldClmContext = ThisWorkbook.Sheets(SHT_NAME_HOLIDAY_LIST).Cells.Find(KWD_HLD_CLM_CONTEXT, LookAt:=xlWhole).Column</v>
      </c>
      <c r="S41" s="11" t="s">
        <v>45</v>
      </c>
    </row>
    <row r="42" spans="1:19" ht="1.5" customHeight="1" x14ac:dyDescent="0.2">
      <c r="A42" s="27"/>
      <c r="B42" s="26"/>
      <c r="C42" s="26"/>
      <c r="D42" s="26"/>
      <c r="E42" s="26"/>
      <c r="F42" s="26"/>
      <c r="G42" s="26"/>
      <c r="H42" s="26"/>
      <c r="I42" s="26"/>
      <c r="J42" s="26"/>
      <c r="K42" s="26"/>
      <c r="L42" s="26"/>
      <c r="M42" s="26"/>
      <c r="N42" s="26"/>
      <c r="O42" s="26"/>
      <c r="P42" s="26"/>
      <c r="Q42" s="26"/>
      <c r="R42" s="26"/>
      <c r="S42" s="11" t="s">
        <v>45</v>
      </c>
    </row>
  </sheetData>
  <phoneticPr fontId="1"/>
  <dataValidations count="2">
    <dataValidation type="list" allowBlank="1" showInputMessage="1" showErrorMessage="1" sqref="D5:D41">
      <formula1>シート名</formula1>
    </dataValidation>
    <dataValidation type="list" allowBlank="1" showInputMessage="1" showErrorMessage="1" sqref="A5:A41">
      <formula1>"行,列"</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B1:B19"/>
  <sheetViews>
    <sheetView showGridLines="0" zoomScale="70" zoomScaleNormal="70" workbookViewId="0">
      <selection activeCell="B2" sqref="B2:B19"/>
    </sheetView>
  </sheetViews>
  <sheetFormatPr defaultRowHeight="13.2" x14ac:dyDescent="0.2"/>
  <cols>
    <col min="1" max="1" width="8.88671875" style="1"/>
    <col min="2" max="2" width="77.33203125" style="1" customWidth="1"/>
    <col min="3" max="16384" width="8.88671875" style="1"/>
  </cols>
  <sheetData>
    <row r="1" spans="2:2" ht="13.8" thickBot="1" x14ac:dyDescent="0.25"/>
    <row r="2" spans="2:2" x14ac:dyDescent="0.2">
      <c r="B2" s="17" t="s">
        <v>47</v>
      </c>
    </row>
    <row r="3" spans="2:2" x14ac:dyDescent="0.2">
      <c r="B3" s="18" t="str">
        <f>[1]!concstr(シート情報!F3:F7,CHAR(10))</f>
        <v xml:space="preserve">
Public Const SHT_NAME_TIME_MANAGE As String = "時間管理"
Public Const SHT_NAME_TIME_TOTAL As String = "総時間"
Public Const SHT_NAME_HOLIDAY_LIST As String = "休日一覧"
</v>
      </c>
    </row>
    <row r="4" spans="2:2" x14ac:dyDescent="0.2">
      <c r="B4" s="18" t="s">
        <v>68</v>
      </c>
    </row>
    <row r="5" spans="2:2" x14ac:dyDescent="0.2">
      <c r="B5" s="18" t="s">
        <v>48</v>
      </c>
    </row>
    <row r="6" spans="2:2" x14ac:dyDescent="0.2">
      <c r="B6" s="18" t="str">
        <f>[1]!concstr(行列情報!P4:P42,CHAR(10))</f>
        <v xml:space="preserve">
Public Const KWD_TMM_CLM_DATE_STRT As String = "列_日付開始"
Public Const KWD_TMM_CLM_DATE_LAST As String = "列_日付終了"
Public Const KWD_TMM_CLM_STYLE_WEEK As String = "列_平日書式"
Public Const KWD_TMM_CLM_STYLE_HOLI_HALF As String = "列_半休書式"
Public Const KWD_TMM_CLM_STYLE_HOLI_ALL As String = "列_全休書式"
Public Const KWD_TMM_CLM_TASK_CATE As String = "列_タスク_カテゴリ"
Public Const KWD_TMM_CLM_TASK_LEVEL1 As String = "列_タスク_レベル１"
Public Const KWD_TMM_CLM_TASK_LEVEL2 As String = "列_タスク_レベル２"
Public Const KWD_TMM_CLM_TASK_LEVEL3 As String = "列_タスク_レベル３"
Public Const KWD_TMM_CLM_TIMECNT As String = "列_件数"
Public Const KWD_TMM_CLM_PROGRESS As String = "列_進捗"
Public Const KWD_TMM_CLM_SHEDORRSLT As String = "列_予実"
Public Const KWD_TMM_CLM_TIME_TOTAL As String = "列_合計"
Public Const KWD_TMM_ROW_HOLI_TYPE As String = "行_休日種別"
Public Const KWD_TMM_ROW_DATE As String = "行_日付"
Public Const KWD_TMM_ROW_TITLE As String = "行_タイトル"
Public Const KWD_TMM_ROW_TIME_TOTAL As String = "行_合計"
Public Const KWD_TMM_ROW_TASK_STRT As String = "行_タスク開始"
Public Const KWD_TMM_ROW_TASK_LAST As String = "行_タスク終了"
Public Const KWD_TMT_CLM_TASK_CAT As String = "列_タスクカテゴリ"
Public Const KWD_TMT_CLM_TASK_LV1 As String = "列_タスクレベル１"
Public Const KWD_TMT_CLM_TASK_LV2 As String = "列_タスクレベル２"
Public Const KWD_TMT_CLM_TASK_LV3 As String = "列_タスクレベル３"
Public Const KWD_TMT_CLM_SHEDORRSLT As String = "列_予実"
Public Const KWD_TMT_CLM_TIMETOTAL As String = "列_合計"
Public Const KWD_TMT_CLM_TIMEAVE As String = "列_平均"
Public Const KWD_TMT_CLM_TIMECNT As String = "列_件数"
Public Const KWD_TMT_ROW_TITLE As String = "行_タイトル"
Public Const KWD_TMT_ROW_TASK_STRT As String = "行_タスク開始"
Public Const KWD_TMT_ROW_TASK_LAST As String = "行_タスク終了"
Public Const KWD_HLD_ROW_TITLE As String = "行_タイトル"
Public Const KWD_HLD_ROW_HOLI_STRT As String = "行_休日開始"
Public Const KWD_HLD_ROW_HOLI_LAST As String = "行_休日終了"
Public Const KWD_HLD_CLM_DATE As String = "列_日付"
Public Const KWD_HLD_CLM_TYPE As String = "列_種別"
Public Const KWD_HLD_CLM_CATE As String = "列_カテゴリ"
Public Const KWD_HLD_CLM_CONTEXT As String = "列_説明"
</v>
      </c>
    </row>
    <row r="7" spans="2:2" x14ac:dyDescent="0.2">
      <c r="B7" s="18" t="s">
        <v>68</v>
      </c>
    </row>
    <row r="8" spans="2:2" x14ac:dyDescent="0.2">
      <c r="B8" s="18" t="s">
        <v>49</v>
      </c>
    </row>
    <row r="9" spans="2:2" x14ac:dyDescent="0.2">
      <c r="B9" s="18" t="s">
        <v>50</v>
      </c>
    </row>
    <row r="10" spans="2:2" x14ac:dyDescent="0.2">
      <c r="B10" s="18" t="str">
        <f>[1]!concstr(行列情報!Q4:Q42,CHAR(10))</f>
        <v xml:space="preserve">
	lTmmClmDateStrt As Long
	lTmmClmDateLast As Long
	lTmmClmStyleWeek As Long
	lTmmClmStyleHoliHalf As Long
	lTmmClmStyleHoliAll As Long
	lTmmClmTaskCate As Long
	lTmmClmTaskLevel1 As Long
	lTmmClmTaskLevel2 As Long
	lTmmClmTaskLevel3 As Long
	lTmmClmTimecnt As Long
	lTmmClmProgress As Long
	lTmmClmShedorrslt As Long
	lTmmClmTimeTotal As Long
	lTmmRowHoliType As Long
	lTmmRowDate As Long
	lTmmRowTitle As Long
	lTmmRowTimeTotal As Long
	lTmmRowTaskStrt As Long
	lTmmRowTaskLast As Long
	lTmtClmTaskCat As Long
	lTmtClmTaskLv1 As Long
	lTmtClmTaskLv2 As Long
	lTmtClmTaskLv3 As Long
	lTmtClmShedorrslt As Long
	lTmtClmTimetotal As Long
	lTmtClmTimeave As Long
	lTmtClmTimecnt As Long
	lTmtRowTitle As Long
	lTmtRowTaskStrt As Long
	lTmtRowTaskLast As Long
	lHldRowTitle As Long
	lHldRowHoliStrt As Long
	lHldRowHoliLast As Long
	lHldClmDate As Long
	lHldClmType As Long
	lHldClmCate As Long
	lHldClmContext As Long
</v>
      </c>
    </row>
    <row r="11" spans="2:2" x14ac:dyDescent="0.2">
      <c r="B11" s="18" t="s">
        <v>46</v>
      </c>
    </row>
    <row r="12" spans="2:2" x14ac:dyDescent="0.2">
      <c r="B12" s="18" t="s">
        <v>68</v>
      </c>
    </row>
    <row r="13" spans="2:2" x14ac:dyDescent="0.2">
      <c r="B13" s="18" t="s">
        <v>51</v>
      </c>
    </row>
    <row r="14" spans="2:2" x14ac:dyDescent="0.2">
      <c r="B14" s="18" t="s">
        <v>52</v>
      </c>
    </row>
    <row r="15" spans="2:2" x14ac:dyDescent="0.2">
      <c r="B15" s="18" t="s">
        <v>68</v>
      </c>
    </row>
    <row r="16" spans="2:2" x14ac:dyDescent="0.2">
      <c r="B16" s="18" t="s">
        <v>53</v>
      </c>
    </row>
    <row r="17" spans="2:2" x14ac:dyDescent="0.2">
      <c r="B17" s="18" t="s">
        <v>54</v>
      </c>
    </row>
    <row r="18" spans="2:2" x14ac:dyDescent="0.2">
      <c r="B18" s="18" t="str">
        <f>[1]!concstr(行列情報!R4:R42,CHAR(10))</f>
        <v xml:space="preserve">
	gtCRInfo.lTmmClmDateStrt = ThisWorkbook.Sheets(SHT_NAME_TIME_MANAGE).Cells.Find(KWD_TMM_CLM_DATE_STRT, LookAt:=xlWhole).Column
	gtCRInfo.lTmmClmDateLast = ThisWorkbook.Sheets(SHT_NAME_TIME_MANAGE).Cells.Find(KWD_TMM_CLM_DATE_LAST, LookAt:=xlWhole).Column
	gtCRInfo.lTmmClmStyleWeek = ThisWorkbook.Sheets(SHT_NAME_TIME_MANAGE).Cells.Find(KWD_TMM_CLM_STYLE_WEEK, LookAt:=xlWhole).Column
	gtCRInfo.lTmmClmStyleHoliHalf = ThisWorkbook.Sheets(SHT_NAME_TIME_MANAGE).Cells.Find(KWD_TMM_CLM_STYLE_HOLI_HALF, LookAt:=xlWhole).Column
	gtCRInfo.lTmmClmStyleHoliAll = ThisWorkbook.Sheets(SHT_NAME_TIME_MANAGE).Cells.Find(KWD_TMM_CLM_STYLE_HOLI_ALL, LookAt:=xlWhole).Column
	gtCRInfo.lTmmClmTaskCate = ThisWorkbook.Sheets(SHT_NAME_TIME_MANAGE).Cells.Find(KWD_TMM_CLM_TASK_CATE, LookAt:=xlWhole).Column
	gtCRInfo.lTmmClmTaskLevel1 = ThisWorkbook.Sheets(SHT_NAME_TIME_MANAGE).Cells.Find(KWD_TMM_CLM_TASK_LEVEL1, LookAt:=xlWhole).Column
	gtCRInfo.lTmmClmTaskLevel2 = ThisWorkbook.Sheets(SHT_NAME_TIME_MANAGE).Cells.Find(KWD_TMM_CLM_TASK_LEVEL2, LookAt:=xlWhole).Column
	gtCRInfo.lTmmClmTaskLevel3 = ThisWorkbook.Sheets(SHT_NAME_TIME_MANAGE).Cells.Find(KWD_TMM_CLM_TASK_LEVEL3, LookAt:=xlWhole).Column
	gtCRInfo.lTmmClmTimecnt = ThisWorkbook.Sheets(SHT_NAME_TIME_MANAGE).Cells.Find(KWD_TMM_CLM_TIMECNT, LookAt:=xlWhole).Column
	gtCRInfo.lTmmClmProgress = ThisWorkbook.Sheets(SHT_NAME_TIME_MANAGE).Cells.Find(KWD_TMM_CLM_PROGRESS, LookAt:=xlWhole).Column
	gtCRInfo.lTmmClmShedorrslt = ThisWorkbook.Sheets(SHT_NAME_TIME_MANAGE).Cells.Find(KWD_TMM_CLM_SHEDORRSLT, LookAt:=xlWhole).Column
	gtCRInfo.lTmmClmTimeTotal = ThisWorkbook.Sheets(SHT_NAME_TIME_MANAGE).Cells.Find(KWD_TMM_CLM_TIME_TOTAL, LookAt:=xlWhole).Column
	gtCRInfo.lTmmRowHoliType = ThisWorkbook.Sheets(SHT_NAME_TIME_MANAGE).Cells.Find(KWD_TMM_ROW_HOLI_TYPE, LookAt:=xlWhole).Row
	gtCRInfo.lTmmRowDate = ThisWorkbook.Sheets(SHT_NAME_TIME_MANAGE).Cells.Find(KWD_TMM_ROW_DATE, LookAt:=xlWhole).Row
	gtCRInfo.lTmmRowTitle = ThisWorkbook.Sheets(SHT_NAME_TIME_MANAGE).Cells.Find(KWD_TMM_ROW_TITLE, LookAt:=xlWhole).Row
	gtCRInfo.lTmmRowTimeTotal = ThisWorkbook.Sheets(SHT_NAME_TIME_MANAGE).Cells.Find(KWD_TMM_ROW_TIME_TOTAL, LookAt:=xlWhole).Row
	gtCRInfo.lTmmRowTaskStrt = ThisWorkbook.Sheets(SHT_NAME_TIME_MANAGE).Cells.Find(KWD_TMM_ROW_TASK_STRT, LookAt:=xlWhole).Row
	gtCRInfo.lTmmRowTaskLast = ThisWorkbook.Sheets(SHT_NAME_TIME_MANAGE).Cells.Find(KWD_TMM_ROW_TASK_LAST, LookAt:=xlWhole).Row
	gtCRInfo.lTmtClmTaskCat = ThisWorkbook.Sheets(SHT_NAME_TIME_TOTAL).Cells.Find(KWD_TMT_CLM_TASK_CAT, LookAt:=xlWhole).Column
	gtCRInfo.lTmtClmTaskLv1 = ThisWorkbook.Sheets(SHT_NAME_TIME_TOTAL).Cells.Find(KWD_TMT_CLM_TASK_LV1, LookAt:=xlWhole).Column
	gtCRInfo.lTmtClmTaskLv2 = ThisWorkbook.Sheets(SHT_NAME_TIME_TOTAL).Cells.Find(KWD_TMT_CLM_TASK_LV2, LookAt:=xlWhole).Column
	gtCRInfo.lTmtClmTaskLv3 = ThisWorkbook.Sheets(SHT_NAME_TIME_TOTAL).Cells.Find(KWD_TMT_CLM_TASK_LV3, LookAt:=xlWhole).Column
	gtCRInfo.lTmtClmShedorrslt = ThisWorkbook.Sheets(SHT_NAME_TIME_TOTAL).Cells.Find(KWD_TMT_CLM_SHEDORRSLT, LookAt:=xlWhole).Column
	gtCRInfo.lTmtClmTimetotal = ThisWorkbook.Sheets(SHT_NAME_TIME_TOTAL).Cells.Find(KWD_TMT_CLM_TIMETOTAL, LookAt:=xlWhole).Column
	gtCRInfo.lTmtClmTimeave = ThisWorkbook.Sheets(SHT_NAME_TIME_TOTAL).Cells.Find(KWD_TMT_CLM_TIMEAVE, LookAt:=xlWhole).Column
	gtCRInfo.lTmtClmTimecnt = ThisWorkbook.Sheets(SHT_NAME_TIME_TOTAL).Cells.Find(KWD_TMT_CLM_TIMECNT, LookAt:=xlWhole).Column
	gtCRInfo.lTmtRowTitle = ThisWorkbook.Sheets(SHT_NAME_TIME_TOTAL).Cells.Find(KWD_TMT_ROW_TITLE, LookAt:=xlWhole).Row
	gtCRInfo.lTmtRowTaskStrt = ThisWorkbook.Sheets(SHT_NAME_TIME_TOTAL).Cells.Find(KWD_TMT_ROW_TASK_STRT, LookAt:=xlWhole).Row
	gtCRInfo.lTmtRowTaskLast = ThisWorkbook.Sheets(SHT_NAME_TIME_TOTAL).Cells.Find(KWD_TMT_ROW_TASK_LAST, LookAt:=xlWhole).Row
	gtCRInfo.lHldRowTitle = ThisWorkbook.Sheets(SHT_NAME_HOLIDAY_LIST).Cells.Find(KWD_HLD_ROW_TITLE, LookAt:=xlWhole).Row
	gtCRInfo.lHldRowHoliStrt = ThisWorkbook.Sheets(SHT_NAME_HOLIDAY_LIST).Cells.Find(KWD_HLD_ROW_HOLI_STRT, LookAt:=xlWhole).Row
	gtCRInfo.lHldRowHoliLast = ThisWorkbook.Sheets(SHT_NAME_HOLIDAY_LIST).Cells.Find(KWD_HLD_ROW_HOLI_LAST, LookAt:=xlWhole).Row
	gtCRInfo.lHldClmDate = ThisWorkbook.Sheets(SHT_NAME_HOLIDAY_LIST).Cells.Find(KWD_HLD_CLM_DATE, LookAt:=xlWhole).Column
	gtCRInfo.lHldClmType = ThisWorkbook.Sheets(SHT_NAME_HOLIDAY_LIST).Cells.Find(KWD_HLD_CLM_TYPE, LookAt:=xlWhole).Column
	gtCRInfo.lHldClmCate = ThisWorkbook.Sheets(SHT_NAME_HOLIDAY_LIST).Cells.Find(KWD_HLD_CLM_CATE, LookAt:=xlWhole).Column
	gtCRInfo.lHldClmContext = ThisWorkbook.Sheets(SHT_NAME_HOLIDAY_LIST).Cells.Find(KWD_HLD_CLM_CONTEXT, LookAt:=xlWhole).Column
</v>
      </c>
    </row>
    <row r="19" spans="2:2" ht="13.8" thickBot="1" x14ac:dyDescent="0.25">
      <c r="B19" s="19" t="s">
        <v>55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9"/>
  <sheetViews>
    <sheetView showGridLines="0" workbookViewId="0"/>
  </sheetViews>
  <sheetFormatPr defaultRowHeight="13.2" x14ac:dyDescent="0.2"/>
  <cols>
    <col min="1" max="1" width="8.88671875" style="20"/>
    <col min="2" max="2" width="10.5546875" style="20" bestFit="1" customWidth="1"/>
    <col min="3" max="3" width="8.88671875" style="20"/>
    <col min="4" max="4" width="36.44140625" customWidth="1"/>
  </cols>
  <sheetData>
    <row r="1" spans="1:4" s="20" customFormat="1" x14ac:dyDescent="0.2">
      <c r="A1" s="24" t="s">
        <v>61</v>
      </c>
      <c r="B1" s="24" t="s">
        <v>62</v>
      </c>
      <c r="C1" s="24" t="s">
        <v>63</v>
      </c>
      <c r="D1" s="24" t="s">
        <v>64</v>
      </c>
    </row>
    <row r="2" spans="1:4" x14ac:dyDescent="0.2">
      <c r="A2" s="21" t="s">
        <v>65</v>
      </c>
      <c r="B2" s="22">
        <v>42996</v>
      </c>
      <c r="C2" s="21" t="s">
        <v>66</v>
      </c>
      <c r="D2" s="23" t="s">
        <v>67</v>
      </c>
    </row>
    <row r="3" spans="1:4" ht="39.6" x14ac:dyDescent="0.2">
      <c r="A3" s="21" t="s">
        <v>70</v>
      </c>
      <c r="B3" s="22">
        <v>42997</v>
      </c>
      <c r="C3" s="21" t="s">
        <v>71</v>
      </c>
      <c r="D3" s="25" t="s">
        <v>69</v>
      </c>
    </row>
    <row r="4" spans="1:4" x14ac:dyDescent="0.2">
      <c r="A4" s="21"/>
      <c r="B4" s="21"/>
      <c r="C4" s="21"/>
      <c r="D4" s="23"/>
    </row>
    <row r="5" spans="1:4" x14ac:dyDescent="0.2">
      <c r="A5" s="21"/>
      <c r="B5" s="21"/>
      <c r="C5" s="21"/>
      <c r="D5" s="23"/>
    </row>
    <row r="6" spans="1:4" x14ac:dyDescent="0.2">
      <c r="A6" s="21"/>
      <c r="B6" s="21"/>
      <c r="C6" s="21"/>
      <c r="D6" s="23"/>
    </row>
    <row r="7" spans="1:4" x14ac:dyDescent="0.2">
      <c r="A7" s="21"/>
      <c r="B7" s="21"/>
      <c r="C7" s="21"/>
      <c r="D7" s="23"/>
    </row>
    <row r="8" spans="1:4" x14ac:dyDescent="0.2">
      <c r="A8" s="21"/>
      <c r="B8" s="21"/>
      <c r="C8" s="21"/>
      <c r="D8" s="23"/>
    </row>
    <row r="9" spans="1:4" x14ac:dyDescent="0.2">
      <c r="A9" s="21"/>
      <c r="B9" s="21"/>
      <c r="C9" s="21"/>
      <c r="D9" s="23"/>
    </row>
    <row r="10" spans="1:4" x14ac:dyDescent="0.2">
      <c r="A10" s="21"/>
      <c r="B10" s="21"/>
      <c r="C10" s="21"/>
      <c r="D10" s="23"/>
    </row>
    <row r="11" spans="1:4" x14ac:dyDescent="0.2">
      <c r="A11" s="21"/>
      <c r="B11" s="21"/>
      <c r="C11" s="21"/>
      <c r="D11" s="23"/>
    </row>
    <row r="12" spans="1:4" x14ac:dyDescent="0.2">
      <c r="A12" s="21"/>
      <c r="B12" s="21"/>
      <c r="C12" s="21"/>
      <c r="D12" s="23"/>
    </row>
    <row r="13" spans="1:4" x14ac:dyDescent="0.2">
      <c r="A13" s="21"/>
      <c r="B13" s="21"/>
      <c r="C13" s="21"/>
      <c r="D13" s="23"/>
    </row>
    <row r="14" spans="1:4" x14ac:dyDescent="0.2">
      <c r="A14" s="21"/>
      <c r="B14" s="21"/>
      <c r="C14" s="21"/>
      <c r="D14" s="23"/>
    </row>
    <row r="15" spans="1:4" x14ac:dyDescent="0.2">
      <c r="A15" s="21"/>
      <c r="B15" s="21"/>
      <c r="C15" s="21"/>
      <c r="D15" s="23"/>
    </row>
    <row r="16" spans="1:4" x14ac:dyDescent="0.2">
      <c r="A16" s="21"/>
      <c r="B16" s="21"/>
      <c r="C16" s="21"/>
      <c r="D16" s="23"/>
    </row>
    <row r="17" spans="1:4" x14ac:dyDescent="0.2">
      <c r="A17" s="21"/>
      <c r="B17" s="21"/>
      <c r="C17" s="21"/>
      <c r="D17" s="23"/>
    </row>
    <row r="18" spans="1:4" x14ac:dyDescent="0.2">
      <c r="A18" s="21"/>
      <c r="B18" s="21"/>
      <c r="C18" s="21"/>
      <c r="D18" s="23"/>
    </row>
    <row r="19" spans="1:4" x14ac:dyDescent="0.2">
      <c r="A19" s="21"/>
      <c r="B19" s="21"/>
      <c r="C19" s="21"/>
      <c r="D19" s="23"/>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B220"/>
  <sheetViews>
    <sheetView tabSelected="1" workbookViewId="0">
      <selection activeCell="B2" sqref="B2:B221"/>
    </sheetView>
  </sheetViews>
  <sheetFormatPr defaultColWidth="2" defaultRowHeight="11.25" customHeight="1" x14ac:dyDescent="0.2"/>
  <cols>
    <col min="1" max="16384" width="2" style="28"/>
  </cols>
  <sheetData>
    <row r="2" spans="2:2" ht="11.25" customHeight="1" x14ac:dyDescent="0.2">
      <c r="B2" s="28" t="s">
        <v>109</v>
      </c>
    </row>
    <row r="4" spans="2:2" ht="11.25" customHeight="1" x14ac:dyDescent="0.2">
      <c r="B4" s="28" t="s">
        <v>110</v>
      </c>
    </row>
    <row r="5" spans="2:2" ht="11.25" customHeight="1" x14ac:dyDescent="0.2">
      <c r="B5" s="28" t="s">
        <v>111</v>
      </c>
    </row>
    <row r="6" spans="2:2" ht="11.25" customHeight="1" x14ac:dyDescent="0.2">
      <c r="B6" s="28" t="s">
        <v>110</v>
      </c>
    </row>
    <row r="7" spans="2:2" ht="11.25" customHeight="1" x14ac:dyDescent="0.2">
      <c r="B7" s="28" t="s">
        <v>47</v>
      </c>
    </row>
    <row r="8" spans="2:2" ht="11.25" customHeight="1" x14ac:dyDescent="0.2">
      <c r="B8" s="28" t="s">
        <v>112</v>
      </c>
    </row>
    <row r="9" spans="2:2" ht="11.25" customHeight="1" x14ac:dyDescent="0.2">
      <c r="B9" s="28" t="s">
        <v>113</v>
      </c>
    </row>
    <row r="10" spans="2:2" ht="11.25" customHeight="1" x14ac:dyDescent="0.2">
      <c r="B10" s="28" t="s">
        <v>114</v>
      </c>
    </row>
    <row r="11" spans="2:2" ht="11.25" customHeight="1" x14ac:dyDescent="0.2">
      <c r="B11" s="28" t="s">
        <v>115</v>
      </c>
    </row>
    <row r="12" spans="2:2" ht="11.25" customHeight="1" x14ac:dyDescent="0.2">
      <c r="B12" s="28" t="s">
        <v>48</v>
      </c>
    </row>
    <row r="13" spans="2:2" ht="11.25" customHeight="1" x14ac:dyDescent="0.2">
      <c r="B13" s="28" t="s">
        <v>116</v>
      </c>
    </row>
    <row r="14" spans="2:2" ht="11.25" customHeight="1" x14ac:dyDescent="0.2">
      <c r="B14" s="28" t="s">
        <v>117</v>
      </c>
    </row>
    <row r="15" spans="2:2" ht="11.25" customHeight="1" x14ac:dyDescent="0.2">
      <c r="B15" s="28" t="s">
        <v>118</v>
      </c>
    </row>
    <row r="16" spans="2:2" ht="11.25" customHeight="1" x14ac:dyDescent="0.2">
      <c r="B16" s="28" t="s">
        <v>119</v>
      </c>
    </row>
    <row r="17" spans="2:2" ht="11.25" customHeight="1" x14ac:dyDescent="0.2">
      <c r="B17" s="28" t="s">
        <v>120</v>
      </c>
    </row>
    <row r="18" spans="2:2" ht="11.25" customHeight="1" x14ac:dyDescent="0.2">
      <c r="B18" s="28" t="s">
        <v>121</v>
      </c>
    </row>
    <row r="19" spans="2:2" ht="11.25" customHeight="1" x14ac:dyDescent="0.2">
      <c r="B19" s="28" t="s">
        <v>122</v>
      </c>
    </row>
    <row r="20" spans="2:2" ht="11.25" customHeight="1" x14ac:dyDescent="0.2">
      <c r="B20" s="28" t="s">
        <v>123</v>
      </c>
    </row>
    <row r="21" spans="2:2" ht="11.25" customHeight="1" x14ac:dyDescent="0.2">
      <c r="B21" s="28" t="s">
        <v>124</v>
      </c>
    </row>
    <row r="22" spans="2:2" ht="11.25" customHeight="1" x14ac:dyDescent="0.2">
      <c r="B22" s="28" t="s">
        <v>125</v>
      </c>
    </row>
    <row r="23" spans="2:2" ht="11.25" customHeight="1" x14ac:dyDescent="0.2">
      <c r="B23" s="28" t="s">
        <v>126</v>
      </c>
    </row>
    <row r="24" spans="2:2" ht="11.25" customHeight="1" x14ac:dyDescent="0.2">
      <c r="B24" s="28" t="s">
        <v>127</v>
      </c>
    </row>
    <row r="25" spans="2:2" ht="11.25" customHeight="1" x14ac:dyDescent="0.2">
      <c r="B25" s="28" t="s">
        <v>128</v>
      </c>
    </row>
    <row r="26" spans="2:2" ht="11.25" customHeight="1" x14ac:dyDescent="0.2">
      <c r="B26" s="28" t="s">
        <v>129</v>
      </c>
    </row>
    <row r="27" spans="2:2" ht="11.25" customHeight="1" x14ac:dyDescent="0.2">
      <c r="B27" s="28" t="s">
        <v>130</v>
      </c>
    </row>
    <row r="28" spans="2:2" ht="11.25" customHeight="1" x14ac:dyDescent="0.2">
      <c r="B28" s="28" t="s">
        <v>131</v>
      </c>
    </row>
    <row r="29" spans="2:2" ht="11.25" customHeight="1" x14ac:dyDescent="0.2">
      <c r="B29" s="28" t="s">
        <v>132</v>
      </c>
    </row>
    <row r="30" spans="2:2" ht="11.25" customHeight="1" x14ac:dyDescent="0.2">
      <c r="B30" s="28" t="s">
        <v>133</v>
      </c>
    </row>
    <row r="31" spans="2:2" ht="11.25" customHeight="1" x14ac:dyDescent="0.2">
      <c r="B31" s="28" t="s">
        <v>134</v>
      </c>
    </row>
    <row r="32" spans="2:2" ht="11.25" customHeight="1" x14ac:dyDescent="0.2">
      <c r="B32" s="28" t="s">
        <v>135</v>
      </c>
    </row>
    <row r="33" spans="2:2" ht="11.25" customHeight="1" x14ac:dyDescent="0.2">
      <c r="B33" s="28" t="s">
        <v>136</v>
      </c>
    </row>
    <row r="34" spans="2:2" ht="11.25" customHeight="1" x14ac:dyDescent="0.2">
      <c r="B34" s="28" t="s">
        <v>137</v>
      </c>
    </row>
    <row r="35" spans="2:2" ht="11.25" customHeight="1" x14ac:dyDescent="0.2">
      <c r="B35" s="28" t="s">
        <v>138</v>
      </c>
    </row>
    <row r="36" spans="2:2" ht="11.25" customHeight="1" x14ac:dyDescent="0.2">
      <c r="B36" s="28" t="s">
        <v>139</v>
      </c>
    </row>
    <row r="37" spans="2:2" ht="11.25" customHeight="1" x14ac:dyDescent="0.2">
      <c r="B37" s="28" t="s">
        <v>140</v>
      </c>
    </row>
    <row r="38" spans="2:2" ht="11.25" customHeight="1" x14ac:dyDescent="0.2">
      <c r="B38" s="28" t="s">
        <v>141</v>
      </c>
    </row>
    <row r="39" spans="2:2" ht="11.25" customHeight="1" x14ac:dyDescent="0.2">
      <c r="B39" s="28" t="s">
        <v>142</v>
      </c>
    </row>
    <row r="40" spans="2:2" ht="11.25" customHeight="1" x14ac:dyDescent="0.2">
      <c r="B40" s="28" t="s">
        <v>143</v>
      </c>
    </row>
    <row r="41" spans="2:2" ht="11.25" customHeight="1" x14ac:dyDescent="0.2">
      <c r="B41" s="28" t="s">
        <v>144</v>
      </c>
    </row>
    <row r="42" spans="2:2" ht="11.25" customHeight="1" x14ac:dyDescent="0.2">
      <c r="B42" s="28" t="s">
        <v>145</v>
      </c>
    </row>
    <row r="43" spans="2:2" ht="11.25" customHeight="1" x14ac:dyDescent="0.2">
      <c r="B43" s="28" t="s">
        <v>146</v>
      </c>
    </row>
    <row r="44" spans="2:2" ht="11.25" customHeight="1" x14ac:dyDescent="0.2">
      <c r="B44" s="28" t="s">
        <v>147</v>
      </c>
    </row>
    <row r="45" spans="2:2" ht="11.25" customHeight="1" x14ac:dyDescent="0.2">
      <c r="B45" s="28" t="s">
        <v>148</v>
      </c>
    </row>
    <row r="46" spans="2:2" ht="11.25" customHeight="1" x14ac:dyDescent="0.2">
      <c r="B46" s="28" t="s">
        <v>149</v>
      </c>
    </row>
    <row r="47" spans="2:2" ht="11.25" customHeight="1" x14ac:dyDescent="0.2">
      <c r="B47" s="28" t="s">
        <v>150</v>
      </c>
    </row>
    <row r="48" spans="2:2" ht="11.25" customHeight="1" x14ac:dyDescent="0.2">
      <c r="B48" s="28" t="s">
        <v>151</v>
      </c>
    </row>
    <row r="49" spans="2:2" ht="11.25" customHeight="1" x14ac:dyDescent="0.2">
      <c r="B49" s="28" t="s">
        <v>152</v>
      </c>
    </row>
    <row r="51" spans="2:2" ht="11.25" customHeight="1" x14ac:dyDescent="0.2">
      <c r="B51" s="28" t="s">
        <v>110</v>
      </c>
    </row>
    <row r="52" spans="2:2" ht="11.25" customHeight="1" x14ac:dyDescent="0.2">
      <c r="B52" s="28" t="s">
        <v>153</v>
      </c>
    </row>
    <row r="53" spans="2:2" ht="11.25" customHeight="1" x14ac:dyDescent="0.2">
      <c r="B53" s="28" t="s">
        <v>110</v>
      </c>
    </row>
    <row r="54" spans="2:2" ht="11.25" customHeight="1" x14ac:dyDescent="0.2">
      <c r="B54" s="28" t="s">
        <v>154</v>
      </c>
    </row>
    <row r="55" spans="2:2" ht="11.25" customHeight="1" x14ac:dyDescent="0.2">
      <c r="B55" s="28" t="s">
        <v>155</v>
      </c>
    </row>
    <row r="56" spans="2:2" ht="11.25" customHeight="1" x14ac:dyDescent="0.2">
      <c r="B56" s="28" t="s">
        <v>156</v>
      </c>
    </row>
    <row r="57" spans="2:2" ht="11.25" customHeight="1" x14ac:dyDescent="0.2">
      <c r="B57" s="28" t="s">
        <v>157</v>
      </c>
    </row>
    <row r="58" spans="2:2" ht="11.25" customHeight="1" x14ac:dyDescent="0.2">
      <c r="B58" s="28" t="s">
        <v>158</v>
      </c>
    </row>
    <row r="59" spans="2:2" ht="11.25" customHeight="1" x14ac:dyDescent="0.2">
      <c r="B59" s="28" t="s">
        <v>159</v>
      </c>
    </row>
    <row r="60" spans="2:2" ht="11.25" customHeight="1" x14ac:dyDescent="0.2">
      <c r="B60" s="28" t="s">
        <v>160</v>
      </c>
    </row>
    <row r="61" spans="2:2" ht="11.25" customHeight="1" x14ac:dyDescent="0.2">
      <c r="B61" s="28" t="s">
        <v>161</v>
      </c>
    </row>
    <row r="62" spans="2:2" ht="11.25" customHeight="1" x14ac:dyDescent="0.2">
      <c r="B62" s="28" t="s">
        <v>46</v>
      </c>
    </row>
    <row r="64" spans="2:2" ht="11.25" customHeight="1" x14ac:dyDescent="0.2">
      <c r="B64" s="28" t="s">
        <v>162</v>
      </c>
    </row>
    <row r="65" spans="2:2" ht="11.25" customHeight="1" x14ac:dyDescent="0.2">
      <c r="B65" s="28" t="s">
        <v>163</v>
      </c>
    </row>
    <row r="66" spans="2:2" ht="11.25" customHeight="1" x14ac:dyDescent="0.2">
      <c r="B66" s="28" t="s">
        <v>164</v>
      </c>
    </row>
    <row r="67" spans="2:2" ht="11.25" customHeight="1" x14ac:dyDescent="0.2">
      <c r="B67" s="28" t="s">
        <v>165</v>
      </c>
    </row>
    <row r="68" spans="2:2" ht="11.25" customHeight="1" x14ac:dyDescent="0.2">
      <c r="B68" s="28" t="s">
        <v>166</v>
      </c>
    </row>
    <row r="69" spans="2:2" ht="11.25" customHeight="1" x14ac:dyDescent="0.2">
      <c r="B69" s="28" t="s">
        <v>167</v>
      </c>
    </row>
    <row r="70" spans="2:2" ht="11.25" customHeight="1" x14ac:dyDescent="0.2">
      <c r="B70" s="28" t="s">
        <v>168</v>
      </c>
    </row>
    <row r="71" spans="2:2" ht="11.25" customHeight="1" x14ac:dyDescent="0.2">
      <c r="B71" s="28" t="s">
        <v>169</v>
      </c>
    </row>
    <row r="72" spans="2:2" ht="11.25" customHeight="1" x14ac:dyDescent="0.2">
      <c r="B72" s="28" t="s">
        <v>170</v>
      </c>
    </row>
    <row r="73" spans="2:2" ht="11.25" customHeight="1" x14ac:dyDescent="0.2">
      <c r="B73" s="28" t="s">
        <v>171</v>
      </c>
    </row>
    <row r="74" spans="2:2" ht="11.25" customHeight="1" x14ac:dyDescent="0.2">
      <c r="B74" s="28" t="s">
        <v>172</v>
      </c>
    </row>
    <row r="75" spans="2:2" ht="11.25" customHeight="1" x14ac:dyDescent="0.2">
      <c r="B75" s="28" t="s">
        <v>173</v>
      </c>
    </row>
    <row r="76" spans="2:2" ht="11.25" customHeight="1" x14ac:dyDescent="0.2">
      <c r="B76" s="28" t="s">
        <v>174</v>
      </c>
    </row>
    <row r="77" spans="2:2" ht="11.25" customHeight="1" x14ac:dyDescent="0.2">
      <c r="B77" s="28" t="s">
        <v>159</v>
      </c>
    </row>
    <row r="78" spans="2:2" ht="11.25" customHeight="1" x14ac:dyDescent="0.2">
      <c r="B78" s="28" t="s">
        <v>46</v>
      </c>
    </row>
    <row r="80" spans="2:2" ht="11.25" customHeight="1" x14ac:dyDescent="0.2">
      <c r="B80" s="28" t="s">
        <v>175</v>
      </c>
    </row>
    <row r="81" spans="2:2" ht="11.25" customHeight="1" x14ac:dyDescent="0.2">
      <c r="B81" s="28" t="s">
        <v>176</v>
      </c>
    </row>
    <row r="82" spans="2:2" ht="11.25" customHeight="1" x14ac:dyDescent="0.2">
      <c r="B82" s="28" t="s">
        <v>177</v>
      </c>
    </row>
    <row r="83" spans="2:2" ht="11.25" customHeight="1" x14ac:dyDescent="0.2">
      <c r="B83" s="28" t="s">
        <v>46</v>
      </c>
    </row>
    <row r="85" spans="2:2" ht="11.25" customHeight="1" x14ac:dyDescent="0.2">
      <c r="B85" s="28" t="s">
        <v>178</v>
      </c>
    </row>
    <row r="86" spans="2:2" ht="11.25" customHeight="1" x14ac:dyDescent="0.2">
      <c r="B86" s="28" t="s">
        <v>179</v>
      </c>
    </row>
    <row r="87" spans="2:2" ht="11.25" customHeight="1" x14ac:dyDescent="0.2">
      <c r="B87" s="28" t="s">
        <v>158</v>
      </c>
    </row>
    <row r="88" spans="2:2" ht="11.25" customHeight="1" x14ac:dyDescent="0.2">
      <c r="B88" s="28" t="s">
        <v>160</v>
      </c>
    </row>
    <row r="89" spans="2:2" ht="11.25" customHeight="1" x14ac:dyDescent="0.2">
      <c r="B89" s="28" t="s">
        <v>161</v>
      </c>
    </row>
    <row r="90" spans="2:2" ht="11.25" customHeight="1" x14ac:dyDescent="0.2">
      <c r="B90" s="28" t="s">
        <v>46</v>
      </c>
    </row>
    <row r="92" spans="2:2" ht="11.25" customHeight="1" x14ac:dyDescent="0.2">
      <c r="B92" s="28" t="s">
        <v>180</v>
      </c>
    </row>
    <row r="93" spans="2:2" ht="11.25" customHeight="1" x14ac:dyDescent="0.2">
      <c r="B93" s="28" t="s">
        <v>181</v>
      </c>
    </row>
    <row r="94" spans="2:2" ht="11.25" customHeight="1" x14ac:dyDescent="0.2">
      <c r="B94" s="28" t="s">
        <v>182</v>
      </c>
    </row>
    <row r="95" spans="2:2" ht="11.25" customHeight="1" x14ac:dyDescent="0.2">
      <c r="B95" s="28" t="s">
        <v>183</v>
      </c>
    </row>
    <row r="96" spans="2:2" ht="11.25" customHeight="1" x14ac:dyDescent="0.2">
      <c r="B96" s="28" t="s">
        <v>184</v>
      </c>
    </row>
    <row r="97" spans="2:2" ht="11.25" customHeight="1" x14ac:dyDescent="0.2">
      <c r="B97" s="28" t="s">
        <v>174</v>
      </c>
    </row>
    <row r="98" spans="2:2" ht="11.25" customHeight="1" x14ac:dyDescent="0.2">
      <c r="B98" s="28" t="s">
        <v>159</v>
      </c>
    </row>
    <row r="99" spans="2:2" ht="11.25" customHeight="1" x14ac:dyDescent="0.2">
      <c r="B99" s="28" t="s">
        <v>185</v>
      </c>
    </row>
    <row r="100" spans="2:2" ht="11.25" customHeight="1" x14ac:dyDescent="0.2">
      <c r="B100" s="28" t="s">
        <v>172</v>
      </c>
    </row>
    <row r="101" spans="2:2" ht="11.25" customHeight="1" x14ac:dyDescent="0.2">
      <c r="B101" s="28" t="s">
        <v>46</v>
      </c>
    </row>
    <row r="103" spans="2:2" ht="11.25" customHeight="1" x14ac:dyDescent="0.2">
      <c r="B103" s="28" t="s">
        <v>186</v>
      </c>
    </row>
    <row r="104" spans="2:2" ht="11.25" customHeight="1" x14ac:dyDescent="0.2">
      <c r="B104" s="28" t="s">
        <v>187</v>
      </c>
    </row>
    <row r="105" spans="2:2" ht="11.25" customHeight="1" x14ac:dyDescent="0.2">
      <c r="B105" s="28" t="s">
        <v>188</v>
      </c>
    </row>
    <row r="106" spans="2:2" ht="11.25" customHeight="1" x14ac:dyDescent="0.2">
      <c r="B106" s="28" t="s">
        <v>46</v>
      </c>
    </row>
    <row r="108" spans="2:2" ht="11.25" customHeight="1" x14ac:dyDescent="0.2">
      <c r="B108" s="28" t="s">
        <v>189</v>
      </c>
    </row>
    <row r="109" spans="2:2" ht="11.25" customHeight="1" x14ac:dyDescent="0.2">
      <c r="B109" s="28" t="s">
        <v>190</v>
      </c>
    </row>
    <row r="110" spans="2:2" ht="11.25" customHeight="1" x14ac:dyDescent="0.2">
      <c r="B110" s="28" t="s">
        <v>158</v>
      </c>
    </row>
    <row r="111" spans="2:2" ht="11.25" customHeight="1" x14ac:dyDescent="0.2">
      <c r="B111" s="28" t="s">
        <v>191</v>
      </c>
    </row>
    <row r="112" spans="2:2" ht="11.25" customHeight="1" x14ac:dyDescent="0.2">
      <c r="B112" s="28" t="s">
        <v>192</v>
      </c>
    </row>
    <row r="113" spans="2:2" ht="11.25" customHeight="1" x14ac:dyDescent="0.2">
      <c r="B113" s="28" t="s">
        <v>46</v>
      </c>
    </row>
    <row r="115" spans="2:2" ht="11.25" customHeight="1" x14ac:dyDescent="0.2">
      <c r="B115" s="28" t="s">
        <v>193</v>
      </c>
    </row>
    <row r="116" spans="2:2" ht="11.25" customHeight="1" x14ac:dyDescent="0.2">
      <c r="B116" s="28" t="s">
        <v>157</v>
      </c>
    </row>
    <row r="117" spans="2:2" ht="11.25" customHeight="1" x14ac:dyDescent="0.2">
      <c r="B117" s="28" t="s">
        <v>194</v>
      </c>
    </row>
    <row r="118" spans="2:2" ht="11.25" customHeight="1" x14ac:dyDescent="0.2">
      <c r="B118" s="28" t="s">
        <v>195</v>
      </c>
    </row>
    <row r="119" spans="2:2" ht="11.25" customHeight="1" x14ac:dyDescent="0.2">
      <c r="B119" s="28" t="s">
        <v>196</v>
      </c>
    </row>
    <row r="120" spans="2:2" ht="11.25" customHeight="1" x14ac:dyDescent="0.2">
      <c r="B120" s="28" t="s">
        <v>46</v>
      </c>
    </row>
    <row r="122" spans="2:2" ht="11.25" customHeight="1" x14ac:dyDescent="0.2">
      <c r="B122" s="28" t="s">
        <v>197</v>
      </c>
    </row>
    <row r="123" spans="2:2" ht="11.25" customHeight="1" x14ac:dyDescent="0.2">
      <c r="B123" s="28" t="s">
        <v>198</v>
      </c>
    </row>
    <row r="124" spans="2:2" ht="11.25" customHeight="1" x14ac:dyDescent="0.2">
      <c r="B124" s="28" t="s">
        <v>199</v>
      </c>
    </row>
    <row r="125" spans="2:2" ht="11.25" customHeight="1" x14ac:dyDescent="0.2">
      <c r="B125" s="28" t="s">
        <v>46</v>
      </c>
    </row>
    <row r="127" spans="2:2" ht="11.25" customHeight="1" x14ac:dyDescent="0.2">
      <c r="B127" s="28" t="s">
        <v>110</v>
      </c>
    </row>
    <row r="128" spans="2:2" ht="11.25" customHeight="1" x14ac:dyDescent="0.2">
      <c r="B128" s="28" t="s">
        <v>200</v>
      </c>
    </row>
    <row r="129" spans="2:2" ht="11.25" customHeight="1" x14ac:dyDescent="0.2">
      <c r="B129" s="28" t="s">
        <v>110</v>
      </c>
    </row>
    <row r="130" spans="2:2" ht="11.25" customHeight="1" x14ac:dyDescent="0.2">
      <c r="B130" s="28" t="s">
        <v>201</v>
      </c>
    </row>
    <row r="131" spans="2:2" ht="11.25" customHeight="1" x14ac:dyDescent="0.2">
      <c r="B131" s="28" t="s">
        <v>202</v>
      </c>
    </row>
    <row r="132" spans="2:2" ht="11.25" customHeight="1" x14ac:dyDescent="0.2">
      <c r="B132" s="28" t="s">
        <v>203</v>
      </c>
    </row>
    <row r="133" spans="2:2" ht="11.25" customHeight="1" x14ac:dyDescent="0.2">
      <c r="B133" s="28" t="s">
        <v>204</v>
      </c>
    </row>
    <row r="134" spans="2:2" ht="11.25" customHeight="1" x14ac:dyDescent="0.2">
      <c r="B134" s="28" t="s">
        <v>46</v>
      </c>
    </row>
    <row r="136" spans="2:2" ht="11.25" customHeight="1" x14ac:dyDescent="0.2">
      <c r="B136" s="28" t="s">
        <v>110</v>
      </c>
    </row>
    <row r="137" spans="2:2" ht="11.25" customHeight="1" x14ac:dyDescent="0.2">
      <c r="B137" s="28" t="s">
        <v>205</v>
      </c>
    </row>
    <row r="138" spans="2:2" ht="11.25" customHeight="1" x14ac:dyDescent="0.2">
      <c r="B138" s="28" t="s">
        <v>110</v>
      </c>
    </row>
    <row r="139" spans="2:2" ht="11.25" customHeight="1" x14ac:dyDescent="0.2">
      <c r="B139" s="28" t="s">
        <v>206</v>
      </c>
    </row>
    <row r="141" spans="2:2" ht="11.25" customHeight="1" x14ac:dyDescent="0.2">
      <c r="B141" s="28" t="s">
        <v>209</v>
      </c>
    </row>
    <row r="142" spans="2:2" ht="11.25" customHeight="1" x14ac:dyDescent="0.2">
      <c r="B142" s="28" t="s">
        <v>115</v>
      </c>
    </row>
    <row r="143" spans="2:2" ht="11.25" customHeight="1" x14ac:dyDescent="0.2">
      <c r="B143" s="28" t="s">
        <v>110</v>
      </c>
    </row>
    <row r="144" spans="2:2" ht="11.25" customHeight="1" x14ac:dyDescent="0.2">
      <c r="B144" s="28" t="s">
        <v>207</v>
      </c>
    </row>
    <row r="145" spans="2:2" ht="11.25" customHeight="1" x14ac:dyDescent="0.2">
      <c r="B145" s="28" t="s">
        <v>110</v>
      </c>
    </row>
    <row r="146" spans="2:2" ht="11.25" customHeight="1" x14ac:dyDescent="0.2">
      <c r="B146" s="28" t="s">
        <v>208</v>
      </c>
    </row>
    <row r="147" spans="2:2" ht="11.25" customHeight="1" x14ac:dyDescent="0.2">
      <c r="B147" s="28" t="s">
        <v>210</v>
      </c>
    </row>
    <row r="148" spans="2:2" ht="11.25" customHeight="1" x14ac:dyDescent="0.2">
      <c r="B148" s="28" t="s">
        <v>211</v>
      </c>
    </row>
    <row r="149" spans="2:2" ht="11.25" customHeight="1" x14ac:dyDescent="0.2">
      <c r="B149" s="28" t="s">
        <v>212</v>
      </c>
    </row>
    <row r="150" spans="2:2" ht="11.25" customHeight="1" x14ac:dyDescent="0.2">
      <c r="B150" s="28" t="s">
        <v>213</v>
      </c>
    </row>
    <row r="151" spans="2:2" ht="11.25" customHeight="1" x14ac:dyDescent="0.2">
      <c r="B151" s="28" t="s">
        <v>214</v>
      </c>
    </row>
    <row r="152" spans="2:2" ht="11.25" customHeight="1" x14ac:dyDescent="0.2">
      <c r="B152" s="28" t="s">
        <v>212</v>
      </c>
    </row>
    <row r="153" spans="2:2" ht="11.25" customHeight="1" x14ac:dyDescent="0.2">
      <c r="B153" s="28" t="s">
        <v>211</v>
      </c>
    </row>
    <row r="154" spans="2:2" ht="11.25" customHeight="1" x14ac:dyDescent="0.2">
      <c r="B154" s="28" t="s">
        <v>215</v>
      </c>
    </row>
    <row r="155" spans="2:2" ht="11.25" customHeight="1" x14ac:dyDescent="0.2">
      <c r="B155" s="28" t="s">
        <v>216</v>
      </c>
    </row>
    <row r="156" spans="2:2" ht="11.25" customHeight="1" x14ac:dyDescent="0.2">
      <c r="B156" s="28" t="s">
        <v>217</v>
      </c>
    </row>
    <row r="157" spans="2:2" ht="11.25" customHeight="1" x14ac:dyDescent="0.2">
      <c r="B157" s="28" t="s">
        <v>218</v>
      </c>
    </row>
    <row r="158" spans="2:2" ht="11.25" customHeight="1" x14ac:dyDescent="0.2">
      <c r="B158" s="28" t="s">
        <v>219</v>
      </c>
    </row>
    <row r="159" spans="2:2" ht="11.25" customHeight="1" x14ac:dyDescent="0.2">
      <c r="B159" s="28" t="s">
        <v>220</v>
      </c>
    </row>
    <row r="160" spans="2:2" ht="11.25" customHeight="1" x14ac:dyDescent="0.2">
      <c r="B160" s="28" t="s">
        <v>221</v>
      </c>
    </row>
    <row r="161" spans="2:2" ht="11.25" customHeight="1" x14ac:dyDescent="0.2">
      <c r="B161" s="28" t="s">
        <v>211</v>
      </c>
    </row>
    <row r="162" spans="2:2" ht="11.25" customHeight="1" x14ac:dyDescent="0.2">
      <c r="B162" s="28" t="s">
        <v>222</v>
      </c>
    </row>
    <row r="163" spans="2:2" ht="11.25" customHeight="1" x14ac:dyDescent="0.2">
      <c r="B163" s="28" t="s">
        <v>223</v>
      </c>
    </row>
    <row r="164" spans="2:2" ht="11.25" customHeight="1" x14ac:dyDescent="0.2">
      <c r="B164" s="28" t="s">
        <v>224</v>
      </c>
    </row>
    <row r="165" spans="2:2" ht="11.25" customHeight="1" x14ac:dyDescent="0.2">
      <c r="B165" s="28" t="s">
        <v>225</v>
      </c>
    </row>
    <row r="166" spans="2:2" ht="11.25" customHeight="1" x14ac:dyDescent="0.2">
      <c r="B166" s="28" t="s">
        <v>226</v>
      </c>
    </row>
    <row r="167" spans="2:2" ht="11.25" customHeight="1" x14ac:dyDescent="0.2">
      <c r="B167" s="28" t="s">
        <v>227</v>
      </c>
    </row>
    <row r="168" spans="2:2" ht="11.25" customHeight="1" x14ac:dyDescent="0.2">
      <c r="B168" s="28" t="s">
        <v>228</v>
      </c>
    </row>
    <row r="169" spans="2:2" ht="11.25" customHeight="1" x14ac:dyDescent="0.2">
      <c r="B169" s="28" t="s">
        <v>55</v>
      </c>
    </row>
    <row r="171" spans="2:2" ht="11.25" customHeight="1" x14ac:dyDescent="0.2">
      <c r="B171" s="28" t="s">
        <v>229</v>
      </c>
    </row>
    <row r="172" spans="2:2" ht="11.25" customHeight="1" x14ac:dyDescent="0.2">
      <c r="B172" s="28" t="s">
        <v>230</v>
      </c>
    </row>
    <row r="173" spans="2:2" ht="11.25" customHeight="1" x14ac:dyDescent="0.2">
      <c r="B173" s="28" t="s">
        <v>231</v>
      </c>
    </row>
    <row r="174" spans="2:2" ht="11.25" customHeight="1" x14ac:dyDescent="0.2">
      <c r="B174" s="28" t="s">
        <v>232</v>
      </c>
    </row>
    <row r="175" spans="2:2" ht="11.25" customHeight="1" x14ac:dyDescent="0.2">
      <c r="B175" s="28" t="s">
        <v>233</v>
      </c>
    </row>
    <row r="176" spans="2:2" ht="11.25" customHeight="1" x14ac:dyDescent="0.2">
      <c r="B176" s="28" t="s">
        <v>234</v>
      </c>
    </row>
    <row r="177" spans="2:2" ht="11.25" customHeight="1" x14ac:dyDescent="0.2">
      <c r="B177" s="28" t="s">
        <v>235</v>
      </c>
    </row>
    <row r="178" spans="2:2" ht="11.25" customHeight="1" x14ac:dyDescent="0.2">
      <c r="B178" s="28" t="s">
        <v>236</v>
      </c>
    </row>
    <row r="179" spans="2:2" ht="11.25" customHeight="1" x14ac:dyDescent="0.2">
      <c r="B179" s="28" t="s">
        <v>237</v>
      </c>
    </row>
    <row r="180" spans="2:2" ht="11.25" customHeight="1" x14ac:dyDescent="0.2">
      <c r="B180" s="28" t="s">
        <v>238</v>
      </c>
    </row>
    <row r="181" spans="2:2" ht="11.25" customHeight="1" x14ac:dyDescent="0.2">
      <c r="B181" s="28" t="s">
        <v>239</v>
      </c>
    </row>
    <row r="182" spans="2:2" ht="11.25" customHeight="1" x14ac:dyDescent="0.2">
      <c r="B182" s="28" t="s">
        <v>240</v>
      </c>
    </row>
    <row r="183" spans="2:2" ht="11.25" customHeight="1" x14ac:dyDescent="0.2">
      <c r="B183" s="28" t="s">
        <v>241</v>
      </c>
    </row>
    <row r="184" spans="2:2" ht="11.25" customHeight="1" x14ac:dyDescent="0.2">
      <c r="B184" s="28" t="s">
        <v>242</v>
      </c>
    </row>
    <row r="185" spans="2:2" ht="11.25" customHeight="1" x14ac:dyDescent="0.2">
      <c r="B185" s="28" t="s">
        <v>243</v>
      </c>
    </row>
    <row r="186" spans="2:2" ht="11.25" customHeight="1" x14ac:dyDescent="0.2">
      <c r="B186" s="28" t="s">
        <v>244</v>
      </c>
    </row>
    <row r="187" spans="2:2" ht="11.25" customHeight="1" x14ac:dyDescent="0.2">
      <c r="B187" s="28" t="s">
        <v>245</v>
      </c>
    </row>
    <row r="188" spans="2:2" ht="11.25" customHeight="1" x14ac:dyDescent="0.2">
      <c r="B188" s="28" t="s">
        <v>246</v>
      </c>
    </row>
    <row r="189" spans="2:2" ht="11.25" customHeight="1" x14ac:dyDescent="0.2">
      <c r="B189" s="28" t="s">
        <v>247</v>
      </c>
    </row>
    <row r="190" spans="2:2" ht="11.25" customHeight="1" x14ac:dyDescent="0.2">
      <c r="B190" s="28" t="s">
        <v>248</v>
      </c>
    </row>
    <row r="191" spans="2:2" ht="11.25" customHeight="1" x14ac:dyDescent="0.2">
      <c r="B191" s="28" t="s">
        <v>249</v>
      </c>
    </row>
    <row r="192" spans="2:2" ht="11.25" customHeight="1" x14ac:dyDescent="0.2">
      <c r="B192" s="28" t="s">
        <v>250</v>
      </c>
    </row>
    <row r="193" spans="2:2" ht="11.25" customHeight="1" x14ac:dyDescent="0.2">
      <c r="B193" s="28" t="s">
        <v>251</v>
      </c>
    </row>
    <row r="194" spans="2:2" ht="11.25" customHeight="1" x14ac:dyDescent="0.2">
      <c r="B194" s="28" t="s">
        <v>252</v>
      </c>
    </row>
    <row r="195" spans="2:2" ht="11.25" customHeight="1" x14ac:dyDescent="0.2">
      <c r="B195" s="28" t="s">
        <v>253</v>
      </c>
    </row>
    <row r="196" spans="2:2" ht="11.25" customHeight="1" x14ac:dyDescent="0.2">
      <c r="B196" s="28" t="s">
        <v>254</v>
      </c>
    </row>
    <row r="197" spans="2:2" ht="11.25" customHeight="1" x14ac:dyDescent="0.2">
      <c r="B197" s="28" t="s">
        <v>255</v>
      </c>
    </row>
    <row r="198" spans="2:2" ht="11.25" customHeight="1" x14ac:dyDescent="0.2">
      <c r="B198" s="28" t="s">
        <v>256</v>
      </c>
    </row>
    <row r="199" spans="2:2" ht="11.25" customHeight="1" x14ac:dyDescent="0.2">
      <c r="B199" s="28" t="s">
        <v>257</v>
      </c>
    </row>
    <row r="200" spans="2:2" ht="11.25" customHeight="1" x14ac:dyDescent="0.2">
      <c r="B200" s="28" t="s">
        <v>252</v>
      </c>
    </row>
    <row r="201" spans="2:2" ht="11.25" customHeight="1" x14ac:dyDescent="0.2">
      <c r="B201" s="28" t="s">
        <v>258</v>
      </c>
    </row>
    <row r="202" spans="2:2" ht="11.25" customHeight="1" x14ac:dyDescent="0.2">
      <c r="B202" s="28" t="s">
        <v>259</v>
      </c>
    </row>
    <row r="203" spans="2:2" ht="11.25" customHeight="1" x14ac:dyDescent="0.2">
      <c r="B203" s="28" t="s">
        <v>260</v>
      </c>
    </row>
    <row r="204" spans="2:2" ht="11.25" customHeight="1" x14ac:dyDescent="0.2">
      <c r="B204" s="28" t="s">
        <v>261</v>
      </c>
    </row>
    <row r="205" spans="2:2" ht="11.25" customHeight="1" x14ac:dyDescent="0.2">
      <c r="B205" s="28" t="s">
        <v>262</v>
      </c>
    </row>
    <row r="206" spans="2:2" ht="11.25" customHeight="1" x14ac:dyDescent="0.2">
      <c r="B206" s="28" t="s">
        <v>263</v>
      </c>
    </row>
    <row r="207" spans="2:2" ht="11.25" customHeight="1" x14ac:dyDescent="0.2">
      <c r="B207" s="28" t="s">
        <v>264</v>
      </c>
    </row>
    <row r="208" spans="2:2" ht="11.25" customHeight="1" x14ac:dyDescent="0.2">
      <c r="B208" s="28" t="s">
        <v>254</v>
      </c>
    </row>
    <row r="209" spans="2:2" ht="11.25" customHeight="1" x14ac:dyDescent="0.2">
      <c r="B209" s="28" t="s">
        <v>265</v>
      </c>
    </row>
    <row r="210" spans="2:2" ht="11.25" customHeight="1" x14ac:dyDescent="0.2">
      <c r="B210" s="28" t="s">
        <v>226</v>
      </c>
    </row>
    <row r="211" spans="2:2" ht="11.25" customHeight="1" x14ac:dyDescent="0.2">
      <c r="B211" s="28" t="s">
        <v>266</v>
      </c>
    </row>
    <row r="212" spans="2:2" ht="11.25" customHeight="1" x14ac:dyDescent="0.2">
      <c r="B212" s="28" t="s">
        <v>267</v>
      </c>
    </row>
    <row r="213" spans="2:2" ht="11.25" customHeight="1" x14ac:dyDescent="0.2">
      <c r="B213" s="28" t="s">
        <v>268</v>
      </c>
    </row>
    <row r="214" spans="2:2" ht="11.25" customHeight="1" x14ac:dyDescent="0.2">
      <c r="B214" s="28" t="s">
        <v>269</v>
      </c>
    </row>
    <row r="215" spans="2:2" ht="11.25" customHeight="1" x14ac:dyDescent="0.2">
      <c r="B215" s="28" t="s">
        <v>270</v>
      </c>
    </row>
    <row r="216" spans="2:2" ht="11.25" customHeight="1" x14ac:dyDescent="0.2">
      <c r="B216" s="28" t="s">
        <v>271</v>
      </c>
    </row>
    <row r="217" spans="2:2" ht="11.25" customHeight="1" x14ac:dyDescent="0.2">
      <c r="B217" s="28" t="s">
        <v>272</v>
      </c>
    </row>
    <row r="218" spans="2:2" ht="11.25" customHeight="1" x14ac:dyDescent="0.2">
      <c r="B218" s="28" t="s">
        <v>228</v>
      </c>
    </row>
    <row r="219" spans="2:2" ht="11.25" customHeight="1" x14ac:dyDescent="0.2">
      <c r="B219" s="28" t="s">
        <v>273</v>
      </c>
    </row>
    <row r="220" spans="2:2" ht="11.25" customHeight="1" x14ac:dyDescent="0.2">
      <c r="B220" s="28" t="s">
        <v>55</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シート情報</vt:lpstr>
      <vt:lpstr>行列情報</vt:lpstr>
      <vt:lpstr>貼り付けコード</vt:lpstr>
      <vt:lpstr>改訂履歴</vt:lpstr>
      <vt:lpstr>Sheet1</vt:lpstr>
      <vt:lpstr>シート情報</vt:lpstr>
      <vt:lpstr>シート名</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Tatsuya Endo</dc:creator>
  <cp:lastModifiedBy>Tatsuya Endo</cp:lastModifiedBy>
  <dcterms:created xsi:type="dcterms:W3CDTF">2017-09-17T07:40:56Z</dcterms:created>
  <dcterms:modified xsi:type="dcterms:W3CDTF">2017-11-24T02:05:18Z</dcterms:modified>
</cp:coreProperties>
</file>