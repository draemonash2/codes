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24" windowWidth="21096" windowHeight="11856"/>
  </bookViews>
  <sheets>
    <sheet name="Sheet1" sheetId="1" r:id="rId1"/>
    <sheet name="Sheet2" sheetId="2" r:id="rId2"/>
    <sheet name="Sheet3" sheetId="3" r:id="rId3"/>
  </sheets>
  <functionGroups builtInGroupCount="17"/>
  <externalReferences>
    <externalReference r:id="rId4"/>
  </externalReferences>
  <definedNames>
    <definedName name="_xlnm._FilterDatabase" localSheetId="0" hidden="1">Sheet1!$B$2:$D$37</definedName>
  </definedNames>
  <calcPr calcId="145621"/>
</workbook>
</file>

<file path=xl/calcChain.xml><?xml version="1.0" encoding="utf-8"?>
<calcChain xmlns="http://schemas.openxmlformats.org/spreadsheetml/2006/main">
  <c r="F37" i="1" l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F3" i="1"/>
  <c r="C5" i="2"/>
</calcChain>
</file>

<file path=xl/sharedStrings.xml><?xml version="1.0" encoding="utf-8"?>
<sst xmlns="http://schemas.openxmlformats.org/spreadsheetml/2006/main" count="181" uniqueCount="103">
  <si>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</si>
  <si>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</si>
  <si>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</si>
  <si>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</si>
  <si>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</si>
  <si>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</si>
  <si>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</si>
  <si>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</si>
  <si>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</si>
  <si>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</si>
  <si>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</si>
  <si>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</si>
  <si>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</si>
  <si>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</si>
  <si>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</si>
  <si>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</si>
  <si>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</si>
  <si>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</si>
  <si>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</si>
  <si>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</si>
  <si>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</si>
  <si>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</si>
  <si>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</si>
  <si>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</si>
  <si>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</si>
  <si>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</si>
  <si>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</si>
  <si>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</si>
  <si>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</si>
  <si>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コメント</t>
  </si>
  <si>
    <t>コンピレーション</t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</si>
  <si>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</si>
  <si>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</si>
  <si>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</si>
  <si>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</si>
  <si>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</si>
  <si>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ジャンル</t>
  </si>
  <si>
    <t>グループ</t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</si>
  <si>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</si>
  <si>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</si>
  <si>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</si>
  <si>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</si>
  <si>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</si>
  <si>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</si>
  <si>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</si>
  <si>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</si>
  <si>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</si>
  <si>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時間</t>
    <rPh sb="0" eb="2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</si>
  <si>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</si>
  <si>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</si>
  <si>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</si>
  <si>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</si>
  <si>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</si>
  <si>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</si>
  <si>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</si>
  <si>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</si>
  <si>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</si>
  <si>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</si>
  <si>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</si>
  <si>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</si>
  <si>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</si>
  <si>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</si>
  <si>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</si>
  <si>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</si>
  <si>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</si>
  <si>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</si>
  <si>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</si>
  <si>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★Duration</t>
    <phoneticPr fontId="1"/>
  </si>
  <si>
    <t>PlayOrderIndex</t>
    <phoneticPr fontId="1"/>
  </si>
  <si>
    <t>★PlayOrderIndex</t>
    <phoneticPr fontId="1"/>
  </si>
  <si>
    <t>Index</t>
    <phoneticPr fontId="1"/>
  </si>
  <si>
    <t>★Index</t>
    <phoneticPr fontId="1"/>
  </si>
  <si>
    <t>Enabled</t>
    <phoneticPr fontId="1"/>
  </si>
  <si>
    <t>★Enabled</t>
  </si>
  <si>
    <t>★Enabled</t>
    <phoneticPr fontId="1"/>
  </si>
  <si>
    <t>ファイル名</t>
    <rPh sb="4" eb="5">
      <t>メイ</t>
    </rPh>
    <phoneticPr fontId="1"/>
  </si>
  <si>
    <t>フォルダパス</t>
    <phoneticPr fontId="1"/>
  </si>
  <si>
    <t>検索キー</t>
    <rPh sb="0" eb="2">
      <t>ケンサク</t>
    </rPh>
    <phoneticPr fontId="1"/>
  </si>
  <si>
    <t>結果</t>
    <rPh sb="0" eb="2">
      <t>ケッカ</t>
    </rPh>
    <phoneticPr fontId="1"/>
  </si>
  <si>
    <t>Read</t>
    <phoneticPr fontId="1"/>
  </si>
  <si>
    <t>Write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</si>
  <si>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</si>
  <si>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</si>
  <si>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</si>
  <si>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</si>
  <si>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</si>
  <si>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</si>
  <si>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</si>
  <si>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著作権</t>
    <rPh sb="0" eb="3">
      <t>チョサクケン</t>
    </rPh>
    <phoneticPr fontId="1"/>
  </si>
  <si>
    <t>ソフトウェア</t>
  </si>
  <si>
    <t>オリジナルアーティスト</t>
  </si>
  <si>
    <t>エンコードした人</t>
    <rPh sb="7" eb="8">
      <t>ヒト</t>
    </rPh>
    <phoneticPr fontId="1"/>
  </si>
  <si>
    <t>URL</t>
  </si>
  <si>
    <t>作詞者</t>
    <rPh sb="0" eb="3">
      <t>サクシシャ</t>
    </rPh>
    <phoneticPr fontId="1"/>
  </si>
  <si>
    <t>STEのみ</t>
  </si>
  <si>
    <t>iTunesのみ</t>
  </si>
  <si>
    <t>両方</t>
    <rPh sb="0" eb="2">
      <t>リョウホウ</t>
    </rPh>
    <phoneticPr fontId="1"/>
  </si>
  <si>
    <t>Z:\300_Musics\999_Other\test.mp3</t>
  </si>
  <si>
    <t>test track</t>
    <phoneticPr fontId="1"/>
  </si>
  <si>
    <t>更新</t>
    <rPh sb="0" eb="2">
      <t>コウシン</t>
    </rPh>
    <phoneticPr fontId="1"/>
  </si>
  <si>
    <t>タグ情報</t>
    <rPh sb="2" eb="4">
      <t>ジョウホウ</t>
    </rPh>
    <phoneticPr fontId="1"/>
  </si>
  <si>
    <t>Read</t>
    <phoneticPr fontId="1"/>
  </si>
  <si>
    <t>Write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</si>
</sst>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Continuous" vertical="center"/>
    </xf>
    <xf numFmtId="0" fontId="3" fillId="0" borderId="7" xfId="0" applyFont="1" applyBorder="1" applyAlignment="1">
      <alignment horizontal="centerContinuous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7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21" xfId="0" applyFont="1" applyBorder="1" applyAlignment="1">
      <alignment horizontal="centerContinuous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>
      <alignment vertical="center"/>
    </xf>
    <xf numFmtId="0" fontId="3" fillId="0" borderId="22" xfId="0" applyFont="1" applyBorder="1">
      <alignment vertical="center"/>
    </xf>
    <xf numFmtId="0" fontId="3" fillId="0" borderId="25" xfId="0" applyFont="1" applyBorder="1">
      <alignment vertical="center"/>
    </xf>
    <xf numFmtId="0" fontId="3" fillId="0" borderId="26" xfId="0" applyFont="1" applyBorder="1" applyAlignment="1">
      <alignment horizontal="centerContinuous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>
      <alignment vertical="center"/>
    </xf>
    <xf numFmtId="0" fontId="3" fillId="0" borderId="27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20" xfId="0" applyFont="1" applyBorder="1">
      <alignment vertical="center"/>
    </xf>
    <xf numFmtId="0" fontId="3" fillId="0" borderId="31" xfId="0" applyFont="1" applyBorder="1" applyAlignment="1">
      <alignment horizontal="centerContinuous" vertical="center"/>
    </xf>
    <xf numFmtId="0" fontId="3" fillId="0" borderId="32" xfId="0" applyFont="1" applyBorder="1" applyAlignment="1">
      <alignment horizontal="centerContinuous" vertical="center"/>
    </xf>
    <xf numFmtId="0" fontId="3" fillId="0" borderId="33" xfId="0" applyFont="1" applyBorder="1" applyAlignment="1">
      <alignment horizontal="centerContinuous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getfilenam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38"/>
  <sheetViews>
    <sheetView showGridLines="0" tabSelected="1" workbookViewId="0">
      <selection activeCell="F3" sqref="F3"/>
    </sheetView>
  </sheetViews>
  <sheetFormatPr defaultRowHeight="13.2" x14ac:dyDescent="0.2"/>
  <cols>
    <col min="1" max="1" width="2.77734375" customWidth="1"/>
    <col min="2" max="2" width="22.33203125" bestFit="1" customWidth="1"/>
    <col min="3" max="3" width="17.6640625" bestFit="1" customWidth="1"/>
    <col min="6" max="7" width="53.77734375" bestFit="1" customWidth="1"/>
  </cols>
  <sheetData>
    <row r="2" spans="2:7" x14ac:dyDescent="0.2">
      <c r="B2" s="1" t="s">
        <v>65</v>
      </c>
      <c r="C2" s="1" t="s">
        <v>64</v>
      </c>
      <c r="D2" s="1" t="s">
        <v>63</v>
      </c>
      <c r="F2" s="44" t="s">
        <v>101</v>
      </c>
      <c r="G2" s="44" t="s">
        <v>102</v>
      </c>
    </row>
    <row r="3" spans="2:7" x14ac:dyDescent="0.2">
      <c r="B3" s="3" t="s">
        <v>85</v>
      </c>
      <c r="C3" s="3" t="s">
        <v>0</v>
      </c>
      <c r="D3" s="3" t="s">
        <v>61</v>
      </c>
      <c r="F3" t="str">
        <f>IF(OR($D3="R",$D3="R/W"),"    Case """&amp;$B3&amp;""": sTagValue = ."&amp;$C3,"")</f>
        <v xml:space="preserve">    Case "アルバム名": sTagValue = .Album</v>
      </c>
      <c r="G3" t="str">
        <f>IF(OR($D3="R/W"),"    Case """&amp;$B3&amp;""": ."&amp;$C3&amp;" = sTagValue","")</f>
        <v xml:space="preserve">    Case "アルバム名": .Album = sTagValue</v>
      </c>
    </row>
    <row r="4" spans="2:7" x14ac:dyDescent="0.2">
      <c r="B4" s="2" t="s">
        <v>84</v>
      </c>
      <c r="C4" s="2" t="s">
        <v>26</v>
      </c>
      <c r="D4" s="2" t="s">
        <v>61</v>
      </c>
      <c r="F4" t="str">
        <f t="shared" ref="F4:F37" si="0">IF(OR($D4="R",$D4="R/W"),"    Case """&amp;$B4&amp;""": sTagValue = ."&amp;$C4,"")</f>
        <v xml:space="preserve">    Case "アルバムアーティスト名": sTagValue = .AlbumArtist</v>
      </c>
      <c r="G4" t="str">
        <f t="shared" ref="G4:G37" si="1">IF(OR($D4="R/W"),"    Case """&amp;$B4&amp;""": ."&amp;$C4&amp;" = sTagValue","")</f>
        <v xml:space="preserve">    Case "アルバムアーティスト名": .AlbumArtist = sTagValue</v>
      </c>
    </row>
    <row r="5" spans="2:7" x14ac:dyDescent="0.2">
      <c r="B5" s="2" t="s">
        <v>83</v>
      </c>
      <c r="C5" s="2" t="s">
        <v>1</v>
      </c>
      <c r="D5" s="2" t="s">
        <v>61</v>
      </c>
      <c r="F5" t="str">
        <f t="shared" si="0"/>
        <v xml:space="preserve">    Case "アーティスト名": sTagValue = .Artist</v>
      </c>
      <c r="G5" t="str">
        <f t="shared" si="1"/>
        <v xml:space="preserve">    Case "アーティスト名": .Artist = sTagValue</v>
      </c>
    </row>
    <row r="6" spans="2:7" x14ac:dyDescent="0.2">
      <c r="B6" s="2" t="s">
        <v>81</v>
      </c>
      <c r="C6" s="2" t="s">
        <v>82</v>
      </c>
      <c r="D6" s="2" t="s">
        <v>61</v>
      </c>
      <c r="F6" t="str">
        <f t="shared" si="0"/>
        <v xml:space="preserve">    Case "トラック名": sTagValue = .Name</v>
      </c>
      <c r="G6" t="str">
        <f t="shared" si="1"/>
        <v xml:space="preserve">    Case "トラック名": .Name = sTagValue</v>
      </c>
    </row>
    <row r="7" spans="2:7" x14ac:dyDescent="0.2">
      <c r="B7" s="2" t="s">
        <v>28</v>
      </c>
      <c r="C7" s="2" t="s">
        <v>3</v>
      </c>
      <c r="D7" s="2" t="s">
        <v>61</v>
      </c>
      <c r="F7" t="str">
        <f t="shared" si="0"/>
        <v xml:space="preserve">    Case "BPM": sTagValue = .BPM</v>
      </c>
      <c r="G7" t="str">
        <f t="shared" si="1"/>
        <v xml:space="preserve">    Case "BPM": .BPM = sTagValue</v>
      </c>
    </row>
    <row r="8" spans="2:7" x14ac:dyDescent="0.2">
      <c r="B8" s="2" t="s">
        <v>87</v>
      </c>
      <c r="C8" s="2" t="s">
        <v>4</v>
      </c>
      <c r="D8" s="2" t="s">
        <v>61</v>
      </c>
      <c r="F8" t="str">
        <f t="shared" si="0"/>
        <v xml:space="preserve">    Case "コメント": sTagValue = .Comment</v>
      </c>
      <c r="G8" t="str">
        <f t="shared" si="1"/>
        <v xml:space="preserve">    Case "コメント": .Comment = sTagValue</v>
      </c>
    </row>
    <row r="9" spans="2:7" x14ac:dyDescent="0.2">
      <c r="B9" s="2" t="s">
        <v>31</v>
      </c>
      <c r="C9" s="2" t="s">
        <v>5</v>
      </c>
      <c r="D9" s="2" t="s">
        <v>61</v>
      </c>
      <c r="F9" t="str">
        <f t="shared" si="0"/>
        <v xml:space="preserve">    Case "コンピレーション": sTagValue = .Compilation</v>
      </c>
      <c r="G9" t="str">
        <f t="shared" si="1"/>
        <v xml:space="preserve">    Case "コンピレーション": .Compilation = sTagValue</v>
      </c>
    </row>
    <row r="10" spans="2:7" x14ac:dyDescent="0.2">
      <c r="B10" s="2" t="s">
        <v>32</v>
      </c>
      <c r="C10" s="2" t="s">
        <v>6</v>
      </c>
      <c r="D10" s="2" t="s">
        <v>61</v>
      </c>
      <c r="F10" t="str">
        <f t="shared" si="0"/>
        <v xml:space="preserve">    Case "作曲者": sTagValue = .Composer</v>
      </c>
      <c r="G10" t="str">
        <f t="shared" si="1"/>
        <v xml:space="preserve">    Case "作曲者": .Composer = sTagValue</v>
      </c>
    </row>
    <row r="11" spans="2:7" x14ac:dyDescent="0.2">
      <c r="B11" s="2" t="s">
        <v>34</v>
      </c>
      <c r="C11" s="2" t="s">
        <v>8</v>
      </c>
      <c r="D11" s="2" t="s">
        <v>61</v>
      </c>
      <c r="F11" t="str">
        <f t="shared" si="0"/>
        <v xml:space="preserve">    Case "ディスク数": sTagValue = .DiscCount</v>
      </c>
      <c r="G11" t="str">
        <f t="shared" si="1"/>
        <v xml:space="preserve">    Case "ディスク数": .DiscCount = sTagValue</v>
      </c>
    </row>
    <row r="12" spans="2:7" x14ac:dyDescent="0.2">
      <c r="B12" s="2" t="s">
        <v>35</v>
      </c>
      <c r="C12" s="2" t="s">
        <v>9</v>
      </c>
      <c r="D12" s="2" t="s">
        <v>61</v>
      </c>
      <c r="F12" t="str">
        <f t="shared" si="0"/>
        <v xml:space="preserve">    Case "ディスク番号": sTagValue = .DiscNumber</v>
      </c>
      <c r="G12" t="str">
        <f t="shared" si="1"/>
        <v xml:space="preserve">    Case "ディスク番号": .DiscNumber = sTagValue</v>
      </c>
    </row>
    <row r="13" spans="2:7" x14ac:dyDescent="0.2">
      <c r="B13" s="2" t="s">
        <v>74</v>
      </c>
      <c r="C13" s="2" t="s">
        <v>72</v>
      </c>
      <c r="D13" s="2" t="s">
        <v>61</v>
      </c>
      <c r="F13" t="str">
        <f t="shared" si="0"/>
        <v xml:space="preserve">    Case "★Enabled": sTagValue = .Enabled</v>
      </c>
      <c r="G13" t="str">
        <f t="shared" si="1"/>
        <v xml:space="preserve">    Case "★Enabled": .Enabled = sTagValue</v>
      </c>
    </row>
    <row r="14" spans="2:7" x14ac:dyDescent="0.2">
      <c r="B14" s="2" t="s">
        <v>54</v>
      </c>
      <c r="C14" s="2" t="s">
        <v>10</v>
      </c>
      <c r="D14" s="2" t="s">
        <v>61</v>
      </c>
      <c r="F14" t="str">
        <f t="shared" si="0"/>
        <v xml:space="preserve">    Case "イコライザ": sTagValue = .EQ</v>
      </c>
      <c r="G14" t="str">
        <f t="shared" si="1"/>
        <v xml:space="preserve">    Case "イコライザ": .EQ = sTagValue</v>
      </c>
    </row>
    <row r="15" spans="2:7" x14ac:dyDescent="0.2">
      <c r="B15" s="2" t="s">
        <v>86</v>
      </c>
      <c r="C15" s="2" t="s">
        <v>11</v>
      </c>
      <c r="D15" s="2" t="s">
        <v>61</v>
      </c>
      <c r="F15" t="str">
        <f t="shared" si="0"/>
        <v xml:space="preserve">    Case "ジャンル": sTagValue = .Genre</v>
      </c>
      <c r="G15" t="str">
        <f t="shared" si="1"/>
        <v xml:space="preserve">    Case "ジャンル": .Genre = sTagValue</v>
      </c>
    </row>
    <row r="16" spans="2:7" x14ac:dyDescent="0.2">
      <c r="B16" s="2" t="s">
        <v>38</v>
      </c>
      <c r="C16" s="2" t="s">
        <v>12</v>
      </c>
      <c r="D16" s="2" t="s">
        <v>61</v>
      </c>
      <c r="F16" t="str">
        <f t="shared" si="0"/>
        <v xml:space="preserve">    Case "グループ": sTagValue = .Grouping</v>
      </c>
      <c r="G16" t="str">
        <f t="shared" si="1"/>
        <v xml:space="preserve">    Case "グループ": .Grouping = sTagValue</v>
      </c>
    </row>
    <row r="17" spans="2:7" x14ac:dyDescent="0.2">
      <c r="B17" s="2" t="s">
        <v>40</v>
      </c>
      <c r="C17" s="2" t="s">
        <v>14</v>
      </c>
      <c r="D17" s="2" t="s">
        <v>61</v>
      </c>
      <c r="F17" t="str">
        <f t="shared" si="0"/>
        <v xml:space="preserve">    Case "再生回数": sTagValue = .PlayedCount</v>
      </c>
      <c r="G17" t="str">
        <f t="shared" si="1"/>
        <v xml:space="preserve">    Case "再生回数": .PlayedCount = sTagValue</v>
      </c>
    </row>
    <row r="18" spans="2:7" x14ac:dyDescent="0.2">
      <c r="B18" s="2" t="s">
        <v>41</v>
      </c>
      <c r="C18" s="2" t="s">
        <v>15</v>
      </c>
      <c r="D18" s="2" t="s">
        <v>61</v>
      </c>
      <c r="F18" t="str">
        <f t="shared" si="0"/>
        <v xml:space="preserve">    Case "再生日": sTagValue = .PlayedDate</v>
      </c>
      <c r="G18" t="str">
        <f t="shared" si="1"/>
        <v xml:space="preserve">    Case "再生日": .PlayedDate = sTagValue</v>
      </c>
    </row>
    <row r="19" spans="2:7" x14ac:dyDescent="0.2">
      <c r="B19" s="2" t="s">
        <v>43</v>
      </c>
      <c r="C19" s="2" t="s">
        <v>16</v>
      </c>
      <c r="D19" s="2" t="s">
        <v>61</v>
      </c>
      <c r="F19" t="str">
        <f t="shared" si="0"/>
        <v xml:space="preserve">    Case "レーティング": sTagValue = .Rating</v>
      </c>
      <c r="G19" t="str">
        <f t="shared" si="1"/>
        <v xml:space="preserve">    Case "レーティング": .Rating = sTagValue</v>
      </c>
    </row>
    <row r="20" spans="2:7" x14ac:dyDescent="0.2">
      <c r="B20" s="2" t="s">
        <v>46</v>
      </c>
      <c r="C20" s="2" t="s">
        <v>19</v>
      </c>
      <c r="D20" s="2" t="s">
        <v>61</v>
      </c>
      <c r="F20" t="str">
        <f t="shared" si="0"/>
        <v xml:space="preserve">    Case "開始時間": sTagValue = .Start</v>
      </c>
      <c r="G20" t="str">
        <f t="shared" si="1"/>
        <v xml:space="preserve">    Case "開始時間": .Start = sTagValue</v>
      </c>
    </row>
    <row r="21" spans="2:7" x14ac:dyDescent="0.2">
      <c r="B21" s="2" t="s">
        <v>60</v>
      </c>
      <c r="C21" s="2" t="s">
        <v>59</v>
      </c>
      <c r="D21" s="2" t="s">
        <v>61</v>
      </c>
      <c r="F21" t="str">
        <f t="shared" si="0"/>
        <v xml:space="preserve">    Case "終了時間": sTagValue = .Finish</v>
      </c>
      <c r="G21" t="str">
        <f t="shared" si="1"/>
        <v xml:space="preserve">    Case "終了時間": .Finish = sTagValue</v>
      </c>
    </row>
    <row r="22" spans="2:7" x14ac:dyDescent="0.2">
      <c r="B22" s="2" t="s">
        <v>48</v>
      </c>
      <c r="C22" s="2" t="s">
        <v>21</v>
      </c>
      <c r="D22" s="2" t="s">
        <v>61</v>
      </c>
      <c r="F22" t="str">
        <f t="shared" si="0"/>
        <v xml:space="preserve">    Case "トラック数": sTagValue = .TrackCount</v>
      </c>
      <c r="G22" t="str">
        <f t="shared" si="1"/>
        <v xml:space="preserve">    Case "トラック数": .TrackCount = sTagValue</v>
      </c>
    </row>
    <row r="23" spans="2:7" x14ac:dyDescent="0.2">
      <c r="B23" s="2" t="s">
        <v>49</v>
      </c>
      <c r="C23" s="2" t="s">
        <v>22</v>
      </c>
      <c r="D23" s="2" t="s">
        <v>61</v>
      </c>
      <c r="F23" t="str">
        <f t="shared" si="0"/>
        <v xml:space="preserve">    Case "トラック番号": sTagValue = .TrackNumber</v>
      </c>
      <c r="G23" t="str">
        <f t="shared" si="1"/>
        <v xml:space="preserve">    Case "トラック番号": .TrackNumber = sTagValue</v>
      </c>
    </row>
    <row r="24" spans="2:7" x14ac:dyDescent="0.2">
      <c r="B24" s="2" t="s">
        <v>52</v>
      </c>
      <c r="C24" s="2" t="s">
        <v>23</v>
      </c>
      <c r="D24" s="2" t="s">
        <v>61</v>
      </c>
      <c r="F24" t="str">
        <f t="shared" si="0"/>
        <v xml:space="preserve">    Case "音量調整": sTagValue = .VolumeAdjustment</v>
      </c>
      <c r="G24" t="str">
        <f t="shared" si="1"/>
        <v xml:space="preserve">    Case "音量調整": .VolumeAdjustment = sTagValue</v>
      </c>
    </row>
    <row r="25" spans="2:7" x14ac:dyDescent="0.2">
      <c r="B25" s="2" t="s">
        <v>50</v>
      </c>
      <c r="C25" s="2" t="s">
        <v>24</v>
      </c>
      <c r="D25" s="2" t="s">
        <v>61</v>
      </c>
      <c r="F25" t="str">
        <f t="shared" si="0"/>
        <v xml:space="preserve">    Case "年": sTagValue = .Year</v>
      </c>
      <c r="G25" t="str">
        <f t="shared" si="1"/>
        <v xml:space="preserve">    Case "年": .Year = sTagValue</v>
      </c>
    </row>
    <row r="26" spans="2:7" x14ac:dyDescent="0.2">
      <c r="B26" s="2" t="s">
        <v>58</v>
      </c>
      <c r="C26" s="2" t="s">
        <v>57</v>
      </c>
      <c r="D26" s="2" t="s">
        <v>62</v>
      </c>
      <c r="F26" t="str">
        <f t="shared" si="0"/>
        <v xml:space="preserve">    Case "種類（数値）": sTagValue = .Kind</v>
      </c>
      <c r="G26" t="str">
        <f t="shared" si="1"/>
        <v/>
      </c>
    </row>
    <row r="27" spans="2:7" x14ac:dyDescent="0.2">
      <c r="B27" s="2" t="s">
        <v>56</v>
      </c>
      <c r="C27" s="2" t="s">
        <v>55</v>
      </c>
      <c r="D27" s="2" t="s">
        <v>62</v>
      </c>
      <c r="F27" t="str">
        <f t="shared" si="0"/>
        <v xml:space="preserve">    Case "種類（文字列）": sTagValue = .KindAsString</v>
      </c>
      <c r="G27" t="str">
        <f t="shared" si="1"/>
        <v/>
      </c>
    </row>
    <row r="28" spans="2:7" x14ac:dyDescent="0.2">
      <c r="B28" s="2" t="s">
        <v>33</v>
      </c>
      <c r="C28" s="2" t="s">
        <v>7</v>
      </c>
      <c r="D28" s="2" t="s">
        <v>62</v>
      </c>
      <c r="F28" t="str">
        <f t="shared" si="0"/>
        <v xml:space="preserve">    Case "追加日": sTagValue = .DateAdded</v>
      </c>
      <c r="G28" t="str">
        <f t="shared" si="1"/>
        <v/>
      </c>
    </row>
    <row r="29" spans="2:7" x14ac:dyDescent="0.2">
      <c r="B29" s="2" t="s">
        <v>39</v>
      </c>
      <c r="C29" s="2" t="s">
        <v>13</v>
      </c>
      <c r="D29" s="2" t="s">
        <v>62</v>
      </c>
      <c r="F29" t="str">
        <f t="shared" si="0"/>
        <v xml:space="preserve">    Case "変更日": sTagValue = .ModificationDate</v>
      </c>
      <c r="G29" t="str">
        <f t="shared" si="1"/>
        <v/>
      </c>
    </row>
    <row r="30" spans="2:7" x14ac:dyDescent="0.2">
      <c r="B30" s="2" t="s">
        <v>67</v>
      </c>
      <c r="C30" s="2" t="s">
        <v>66</v>
      </c>
      <c r="D30" s="2" t="s">
        <v>62</v>
      </c>
      <c r="F30" t="str">
        <f t="shared" si="0"/>
        <v xml:space="preserve">    Case "★Duration": sTagValue = .Duration</v>
      </c>
      <c r="G30" t="str">
        <f t="shared" si="1"/>
        <v/>
      </c>
    </row>
    <row r="31" spans="2:7" x14ac:dyDescent="0.2">
      <c r="B31" s="2" t="s">
        <v>27</v>
      </c>
      <c r="C31" s="2" t="s">
        <v>2</v>
      </c>
      <c r="D31" s="2" t="s">
        <v>62</v>
      </c>
      <c r="F31" t="str">
        <f t="shared" si="0"/>
        <v xml:space="preserve">    Case "ビットレート": sTagValue = .BitRate</v>
      </c>
      <c r="G31" t="str">
        <f t="shared" si="1"/>
        <v/>
      </c>
    </row>
    <row r="32" spans="2:7" x14ac:dyDescent="0.2">
      <c r="B32" s="2" t="s">
        <v>69</v>
      </c>
      <c r="C32" s="2" t="s">
        <v>68</v>
      </c>
      <c r="D32" s="2" t="s">
        <v>62</v>
      </c>
      <c r="F32" t="str">
        <f t="shared" si="0"/>
        <v xml:space="preserve">    Case "★PlayOrderIndex": sTagValue = .PlayOrderIndex</v>
      </c>
      <c r="G32" t="str">
        <f t="shared" si="1"/>
        <v/>
      </c>
    </row>
    <row r="33" spans="2:7" x14ac:dyDescent="0.2">
      <c r="B33" s="2" t="s">
        <v>44</v>
      </c>
      <c r="C33" s="2" t="s">
        <v>17</v>
      </c>
      <c r="D33" s="2" t="s">
        <v>62</v>
      </c>
      <c r="F33" t="str">
        <f t="shared" si="0"/>
        <v xml:space="preserve">    Case "サンプルレート": sTagValue = .SampleRate</v>
      </c>
      <c r="G33" t="str">
        <f t="shared" si="1"/>
        <v/>
      </c>
    </row>
    <row r="34" spans="2:7" x14ac:dyDescent="0.2">
      <c r="B34" s="2" t="s">
        <v>45</v>
      </c>
      <c r="C34" s="2" t="s">
        <v>18</v>
      </c>
      <c r="D34" s="2" t="s">
        <v>62</v>
      </c>
      <c r="F34" t="str">
        <f t="shared" si="0"/>
        <v xml:space="preserve">    Case "サイズ": sTagValue = .Size</v>
      </c>
      <c r="G34" t="str">
        <f t="shared" si="1"/>
        <v/>
      </c>
    </row>
    <row r="35" spans="2:7" x14ac:dyDescent="0.2">
      <c r="B35" s="2" t="s">
        <v>47</v>
      </c>
      <c r="C35" s="2" t="s">
        <v>20</v>
      </c>
      <c r="D35" s="2" t="s">
        <v>62</v>
      </c>
      <c r="F35" t="str">
        <f t="shared" si="0"/>
        <v xml:space="preserve">    Case "時間": sTagValue = .Time</v>
      </c>
      <c r="G35" t="str">
        <f t="shared" si="1"/>
        <v/>
      </c>
    </row>
    <row r="36" spans="2:7" x14ac:dyDescent="0.2">
      <c r="B36" s="2" t="s">
        <v>51</v>
      </c>
      <c r="C36" s="2" t="s">
        <v>25</v>
      </c>
      <c r="D36" s="2" t="s">
        <v>62</v>
      </c>
      <c r="F36" t="str">
        <f t="shared" si="0"/>
        <v xml:space="preserve">    Case "アートワーク": sTagValue = .Artwork</v>
      </c>
      <c r="G36" t="str">
        <f t="shared" si="1"/>
        <v/>
      </c>
    </row>
    <row r="37" spans="2:7" x14ac:dyDescent="0.2">
      <c r="B37" s="4" t="s">
        <v>71</v>
      </c>
      <c r="C37" s="4" t="s">
        <v>70</v>
      </c>
      <c r="D37" s="4" t="s">
        <v>62</v>
      </c>
      <c r="F37" t="str">
        <f t="shared" si="0"/>
        <v xml:space="preserve">    Case "★Index": sTagValue = .Index</v>
      </c>
      <c r="G37" t="str">
        <f t="shared" si="1"/>
        <v/>
      </c>
    </row>
    <row r="38" spans="2:7" x14ac:dyDescent="0.2">
      <c r="B38" s="5"/>
      <c r="C38" s="5"/>
      <c r="D38" s="5"/>
    </row>
  </sheetData>
  <autoFilter ref="B2:D37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M13"/>
  <sheetViews>
    <sheetView showGridLines="0" workbookViewId="0">
      <selection activeCell="J5" sqref="J5"/>
    </sheetView>
  </sheetViews>
  <sheetFormatPr defaultRowHeight="9.6" x14ac:dyDescent="0.2"/>
  <cols>
    <col min="1" max="1" width="2.109375" style="6" customWidth="1"/>
    <col min="2" max="2" width="12.6640625" style="6" bestFit="1" customWidth="1"/>
    <col min="3" max="3" width="10.33203125" style="6" bestFit="1" customWidth="1"/>
    <col min="4" max="4" width="9.5546875" style="6" bestFit="1" customWidth="1"/>
    <col min="5" max="5" width="2" style="6" customWidth="1"/>
    <col min="6" max="7" width="8.88671875" style="6"/>
    <col min="8" max="8" width="4.44140625" style="6" bestFit="1" customWidth="1"/>
    <col min="9" max="9" width="2" style="6" customWidth="1"/>
    <col min="10" max="10" width="22.33203125" style="6" bestFit="1" customWidth="1"/>
    <col min="11" max="11" width="9.5546875" style="6" bestFit="1" customWidth="1"/>
    <col min="12" max="12" width="13.77734375" style="6" bestFit="1" customWidth="1"/>
    <col min="13" max="13" width="22.33203125" style="6" bestFit="1" customWidth="1"/>
    <col min="14" max="14" width="11.44140625" style="6" bestFit="1" customWidth="1"/>
    <col min="15" max="15" width="11.6640625" style="6" bestFit="1" customWidth="1"/>
    <col min="16" max="16" width="5.5546875" style="6" bestFit="1" customWidth="1"/>
    <col min="17" max="17" width="8.6640625" style="6" bestFit="1" customWidth="1"/>
    <col min="18" max="18" width="7.6640625" style="6" bestFit="1" customWidth="1"/>
    <col min="19" max="19" width="9.109375" style="6" bestFit="1" customWidth="1"/>
    <col min="20" max="20" width="11.21875" style="6" bestFit="1" customWidth="1"/>
    <col min="21" max="21" width="7.5546875" style="6" bestFit="1" customWidth="1"/>
    <col min="22" max="22" width="21.44140625" style="6" bestFit="1" customWidth="1"/>
    <col min="23" max="23" width="16" style="6" bestFit="1" customWidth="1"/>
    <col min="24" max="25" width="9.109375" style="6" bestFit="1" customWidth="1"/>
    <col min="26" max="26" width="12.33203125" style="6" bestFit="1" customWidth="1"/>
    <col min="27" max="27" width="15.44140625" style="6" bestFit="1" customWidth="1"/>
    <col min="28" max="34" width="11.21875" style="6" bestFit="1" customWidth="1"/>
    <col min="35" max="35" width="12.109375" style="6" bestFit="1" customWidth="1"/>
    <col min="36" max="39" width="11.21875" style="6" bestFit="1" customWidth="1"/>
    <col min="40" max="16384" width="8.88671875" style="6"/>
  </cols>
  <sheetData>
    <row r="2" spans="2:39" s="7" customFormat="1" x14ac:dyDescent="0.2">
      <c r="B2" s="8" t="s">
        <v>77</v>
      </c>
      <c r="C2" s="9"/>
      <c r="D2" s="26"/>
      <c r="E2" s="39"/>
      <c r="F2" s="32" t="s">
        <v>78</v>
      </c>
      <c r="G2" s="26"/>
      <c r="H2" s="26"/>
      <c r="I2" s="39"/>
      <c r="J2" s="41" t="s">
        <v>100</v>
      </c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3"/>
    </row>
    <row r="3" spans="2:39" s="7" customFormat="1" hidden="1" x14ac:dyDescent="0.2">
      <c r="B3" s="10"/>
      <c r="C3" s="11"/>
      <c r="D3" s="27"/>
      <c r="E3" s="39"/>
      <c r="F3" s="33"/>
      <c r="G3" s="27"/>
      <c r="H3" s="27"/>
      <c r="I3" s="39"/>
      <c r="J3" s="33" t="s">
        <v>94</v>
      </c>
      <c r="K3" s="11" t="s">
        <v>96</v>
      </c>
      <c r="L3" s="11" t="s">
        <v>96</v>
      </c>
      <c r="M3" s="11" t="s">
        <v>96</v>
      </c>
      <c r="N3" s="11" t="s">
        <v>96</v>
      </c>
      <c r="O3" s="11" t="s">
        <v>96</v>
      </c>
      <c r="P3" s="11" t="s">
        <v>96</v>
      </c>
      <c r="Q3" s="11" t="s">
        <v>96</v>
      </c>
      <c r="R3" s="11" t="s">
        <v>96</v>
      </c>
      <c r="S3" s="11" t="s">
        <v>94</v>
      </c>
      <c r="T3" s="11" t="s">
        <v>94</v>
      </c>
      <c r="U3" s="11" t="s">
        <v>96</v>
      </c>
      <c r="V3" s="11" t="s">
        <v>94</v>
      </c>
      <c r="W3" s="11" t="s">
        <v>94</v>
      </c>
      <c r="X3" s="11" t="s">
        <v>94</v>
      </c>
      <c r="Y3" s="11" t="s">
        <v>94</v>
      </c>
      <c r="Z3" s="11" t="s">
        <v>96</v>
      </c>
      <c r="AA3" s="11" t="s">
        <v>96</v>
      </c>
      <c r="AB3" s="11" t="s">
        <v>95</v>
      </c>
      <c r="AC3" s="11" t="s">
        <v>95</v>
      </c>
      <c r="AD3" s="11" t="s">
        <v>95</v>
      </c>
      <c r="AE3" s="11" t="s">
        <v>95</v>
      </c>
      <c r="AF3" s="11" t="s">
        <v>95</v>
      </c>
      <c r="AG3" s="11" t="s">
        <v>95</v>
      </c>
      <c r="AH3" s="11" t="s">
        <v>95</v>
      </c>
      <c r="AI3" s="11" t="s">
        <v>95</v>
      </c>
      <c r="AJ3" s="11" t="s">
        <v>95</v>
      </c>
      <c r="AK3" s="11" t="s">
        <v>95</v>
      </c>
      <c r="AL3" s="11" t="s">
        <v>95</v>
      </c>
      <c r="AM3" s="12" t="s">
        <v>95</v>
      </c>
    </row>
    <row r="4" spans="2:39" s="7" customFormat="1" x14ac:dyDescent="0.2">
      <c r="B4" s="19" t="s">
        <v>76</v>
      </c>
      <c r="C4" s="20" t="s">
        <v>75</v>
      </c>
      <c r="D4" s="28" t="s">
        <v>81</v>
      </c>
      <c r="E4" s="39"/>
      <c r="F4" s="34" t="s">
        <v>79</v>
      </c>
      <c r="G4" s="28" t="s">
        <v>80</v>
      </c>
      <c r="H4" s="28" t="s">
        <v>99</v>
      </c>
      <c r="I4" s="39"/>
      <c r="J4" s="34" t="s">
        <v>75</v>
      </c>
      <c r="K4" s="20" t="s">
        <v>81</v>
      </c>
      <c r="L4" s="20" t="s">
        <v>83</v>
      </c>
      <c r="M4" s="20" t="s">
        <v>84</v>
      </c>
      <c r="N4" s="20" t="s">
        <v>85</v>
      </c>
      <c r="O4" s="20" t="s">
        <v>49</v>
      </c>
      <c r="P4" s="20" t="s">
        <v>50</v>
      </c>
      <c r="Q4" s="20" t="s">
        <v>36</v>
      </c>
      <c r="R4" s="20" t="s">
        <v>29</v>
      </c>
      <c r="S4" s="20" t="s">
        <v>88</v>
      </c>
      <c r="T4" s="20" t="s">
        <v>89</v>
      </c>
      <c r="U4" s="20" t="s">
        <v>32</v>
      </c>
      <c r="V4" s="20" t="s">
        <v>90</v>
      </c>
      <c r="W4" s="20" t="s">
        <v>91</v>
      </c>
      <c r="X4" s="20" t="s">
        <v>92</v>
      </c>
      <c r="Y4" s="20" t="s">
        <v>93</v>
      </c>
      <c r="Z4" s="20" t="s">
        <v>35</v>
      </c>
      <c r="AA4" s="20" t="s">
        <v>30</v>
      </c>
      <c r="AB4" s="20" t="s">
        <v>3</v>
      </c>
      <c r="AC4" s="20" t="s">
        <v>34</v>
      </c>
      <c r="AD4" s="20" t="s">
        <v>73</v>
      </c>
      <c r="AE4" s="20" t="s">
        <v>53</v>
      </c>
      <c r="AF4" s="20" t="s">
        <v>37</v>
      </c>
      <c r="AG4" s="20" t="s">
        <v>40</v>
      </c>
      <c r="AH4" s="20" t="s">
        <v>41</v>
      </c>
      <c r="AI4" s="20" t="s">
        <v>42</v>
      </c>
      <c r="AJ4" s="20" t="s">
        <v>46</v>
      </c>
      <c r="AK4" s="20" t="s">
        <v>60</v>
      </c>
      <c r="AL4" s="20" t="s">
        <v>48</v>
      </c>
      <c r="AM4" s="21" t="s">
        <v>52</v>
      </c>
    </row>
    <row r="5" spans="2:39" x14ac:dyDescent="0.2">
      <c r="B5" s="16" t="s">
        <v>97</v>
      </c>
      <c r="C5" s="17" t="str">
        <f>[1]!getfilename($B5)</f>
        <v>test.mp3</v>
      </c>
      <c r="D5" s="29" t="s">
        <v>98</v>
      </c>
      <c r="E5" s="40"/>
      <c r="F5" s="35"/>
      <c r="G5" s="29"/>
      <c r="H5" s="29"/>
      <c r="I5" s="40"/>
      <c r="J5" s="35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8"/>
    </row>
    <row r="6" spans="2:39" x14ac:dyDescent="0.2">
      <c r="B6" s="13"/>
      <c r="C6" s="14"/>
      <c r="D6" s="30"/>
      <c r="E6" s="40"/>
      <c r="F6" s="36"/>
      <c r="G6" s="30"/>
      <c r="H6" s="30"/>
      <c r="I6" s="40"/>
      <c r="J6" s="36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5"/>
    </row>
    <row r="7" spans="2:39" x14ac:dyDescent="0.2">
      <c r="B7" s="13"/>
      <c r="C7" s="14"/>
      <c r="D7" s="30"/>
      <c r="E7" s="40"/>
      <c r="F7" s="36"/>
      <c r="G7" s="30"/>
      <c r="H7" s="30"/>
      <c r="I7" s="40"/>
      <c r="J7" s="36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5"/>
    </row>
    <row r="8" spans="2:39" x14ac:dyDescent="0.2">
      <c r="B8" s="13"/>
      <c r="C8" s="14"/>
      <c r="D8" s="30"/>
      <c r="E8" s="40"/>
      <c r="F8" s="36"/>
      <c r="G8" s="30"/>
      <c r="H8" s="30"/>
      <c r="I8" s="40"/>
      <c r="J8" s="36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5"/>
    </row>
    <row r="9" spans="2:39" x14ac:dyDescent="0.2">
      <c r="B9" s="13"/>
      <c r="C9" s="14"/>
      <c r="D9" s="30"/>
      <c r="E9" s="40"/>
      <c r="F9" s="36"/>
      <c r="G9" s="30"/>
      <c r="H9" s="30"/>
      <c r="I9" s="40"/>
      <c r="J9" s="36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5"/>
    </row>
    <row r="10" spans="2:39" x14ac:dyDescent="0.2">
      <c r="B10" s="13"/>
      <c r="C10" s="14"/>
      <c r="D10" s="30"/>
      <c r="E10" s="40"/>
      <c r="F10" s="36"/>
      <c r="G10" s="30"/>
      <c r="H10" s="30"/>
      <c r="I10" s="40"/>
      <c r="J10" s="36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5"/>
    </row>
    <row r="11" spans="2:39" x14ac:dyDescent="0.2">
      <c r="B11" s="13"/>
      <c r="C11" s="14"/>
      <c r="D11" s="30"/>
      <c r="E11" s="40"/>
      <c r="F11" s="36"/>
      <c r="G11" s="30"/>
      <c r="H11" s="30"/>
      <c r="I11" s="40"/>
      <c r="J11" s="36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5"/>
    </row>
    <row r="12" spans="2:39" x14ac:dyDescent="0.2">
      <c r="B12" s="22"/>
      <c r="C12" s="23"/>
      <c r="D12" s="31"/>
      <c r="E12" s="40"/>
      <c r="F12" s="37"/>
      <c r="G12" s="31"/>
      <c r="H12" s="31"/>
      <c r="I12" s="40"/>
      <c r="J12" s="37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4"/>
    </row>
    <row r="13" spans="2:39" x14ac:dyDescent="0.2">
      <c r="B13" s="25"/>
      <c r="C13" s="25"/>
      <c r="D13" s="25"/>
      <c r="E13" s="38"/>
      <c r="F13" s="25"/>
      <c r="G13" s="25"/>
      <c r="H13" s="25"/>
      <c r="I13" s="38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2017-07-13T00:17:53Z</dcterms:modified>
</cp:coreProperties>
</file>