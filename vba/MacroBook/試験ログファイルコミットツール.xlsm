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05" windowWidth="14805" windowHeight="8010"/>
  </bookViews>
  <sheets>
    <sheet name="概要" sheetId="1" r:id="rId1"/>
    <sheet name="★本ツールを実行する前に★" sheetId="25" r:id="rId2"/>
    <sheet name="チェック内容詳細" sheetId="23" r:id="rId3"/>
    <sheet name="(A)" sheetId="9" state="hidden" r:id="rId4"/>
    <sheet name="(B)" sheetId="6" state="hidden" r:id="rId5"/>
    <sheet name="(C)" sheetId="10" state="hidden" r:id="rId6"/>
    <sheet name="Summary" sheetId="20" state="hidden" r:id="rId7"/>
    <sheet name="Result(UT)" sheetId="26" r:id="rId8"/>
    <sheet name="Result(CT,FT,ST)" sheetId="27" r:id="rId9"/>
    <sheet name="データ入力" sheetId="13" r:id="rId10"/>
    <sheet name="リリースノート" sheetId="21" r:id="rId11"/>
    <sheet name="デバッグ用シート" sheetId="19" r:id="rId12"/>
    <sheet name="モジュール構成" sheetId="7" r:id="rId13"/>
    <sheet name="データ構造" sheetId="8" r:id="rId14"/>
    <sheet name="追加機能検討" sheetId="24" r:id="rId15"/>
  </sheets>
  <functionGroups builtInGroupCount="17">
    <functionGroup name="Commands"/>
    <functionGroup name="正規表現検索"/>
  </functionGroups>
  <externalReferences>
    <externalReference r:id="rId16"/>
    <externalReference r:id="rId17"/>
  </externalReferences>
  <definedNames>
    <definedName name="_xlnm._FilterDatabase" localSheetId="5" hidden="1">'(C)'!$D$12:$H$13</definedName>
    <definedName name="_xlnm._FilterDatabase" localSheetId="2" hidden="1">チェック内容詳細!#REF!</definedName>
    <definedName name="_xlnm._FilterDatabase" localSheetId="13" hidden="1">データ構造!$B$16:$AI$16</definedName>
    <definedName name="_xlnm._FilterDatabase" localSheetId="0" hidden="1">概要!#REF!</definedName>
    <definedName name="_xlnm._FilterDatabase" localSheetId="14" hidden="1">追加機能検討!$B$112:$AV$112</definedName>
    <definedName name="カテゴリ">[1]data!$C$4:$C$18</definedName>
    <definedName name="シグナル名">OFFSET([2]メッセージ・シグナル一覧!$K$4,0,0,COUNTA([2]メッセージ・シグナル一覧!$K:$K)-1,1)</definedName>
    <definedName name="メッセージ名">OFFSET([2]メッセージ・シグナル一覧!$D$4,0,0,COUNTA([2]メッセージ・シグナル一覧!$D:$D)-1,1)</definedName>
    <definedName name="現セル">INDIRECT(ADDRESS(ROW(),COLUMN()))</definedName>
    <definedName name="現行高さ列">INDIRECT(ADDRESS(ROW(),COLUMN(!$D1048574)))</definedName>
    <definedName name="現行次列">INDIRECT(ADDRESS(ROW(),COLUMN()+1))</definedName>
  </definedNames>
  <calcPr calcId="145621"/>
</workbook>
</file>

<file path=xl/calcChain.xml><?xml version="1.0" encoding="utf-8"?>
<calcChain xmlns="http://schemas.openxmlformats.org/spreadsheetml/2006/main">
  <c r="E7" i="13" l="1"/>
  <c r="E6" i="13"/>
  <c r="E5" i="13"/>
  <c r="E4" i="13" l="1"/>
  <c r="B4" i="24" l="1"/>
  <c r="C2" i="7" l="1"/>
  <c r="B2" i="7" l="1"/>
</calcChain>
</file>

<file path=xl/comments1.xml><?xml version="1.0" encoding="utf-8"?>
<comments xmlns="http://schemas.openxmlformats.org/spreadsheetml/2006/main">
  <authors>
    <author>作成者</author>
    <author xml:space="preserve"> </author>
    <author>TatsuyaEndo</author>
  </authors>
  <commentList>
    <comment ref="D5" authorId="0">
      <text>
        <r>
          <rPr>
            <b/>
            <sz val="9"/>
            <color indexed="81"/>
            <rFont val="ＭＳ Ｐゴシック"/>
            <family val="3"/>
            <charset val="128"/>
          </rPr>
          <t>ログフォルダ名と一致する名称を記載
（システム試験の場合は「-」を記載）</t>
        </r>
      </text>
    </comment>
    <comment ref="D7" authorId="0">
      <text>
        <r>
          <rPr>
            <b/>
            <sz val="9"/>
            <color indexed="81"/>
            <rFont val="ＭＳ Ｐゴシック"/>
            <family val="3"/>
            <charset val="128"/>
          </rPr>
          <t>「ログファイル格納先ルートフォルダ」のフォルダパスを記載
ex) C:\Coffer\svn_PTM\test\11_TF2次プロト2nd\41_結合試験ログ</t>
        </r>
      </text>
    </comment>
    <comment ref="I12" authorId="1">
      <text>
        <r>
          <rPr>
            <b/>
            <sz val="9"/>
            <color indexed="81"/>
            <rFont val="ＭＳ Ｐゴシック"/>
            <family val="3"/>
            <charset val="128"/>
          </rPr>
          <t>OK固定</t>
        </r>
      </text>
    </comment>
    <comment ref="I13" authorId="2">
      <text>
        <r>
          <rPr>
            <b/>
            <sz val="9"/>
            <color indexed="81"/>
            <rFont val="ＭＳ Ｐゴシック"/>
            <family val="3"/>
            <charset val="128"/>
          </rPr>
          <t>試験データ欄は、ログフォルダパス配下のログファイル名を自動的に書き込みます。</t>
        </r>
      </text>
    </comment>
  </commentList>
</comments>
</file>

<file path=xl/sharedStrings.xml><?xml version="1.0" encoding="utf-8"?>
<sst xmlns="http://schemas.openxmlformats.org/spreadsheetml/2006/main" count="600" uniqueCount="418">
  <si>
    <t>試験項目書ファイルパス</t>
    <rPh sb="0" eb="2">
      <t>シケン</t>
    </rPh>
    <rPh sb="2" eb="4">
      <t>コウモク</t>
    </rPh>
    <rPh sb="4" eb="5">
      <t>ショ</t>
    </rPh>
    <phoneticPr fontId="2"/>
  </si>
  <si>
    <t>試験ログフォルダパス</t>
    <rPh sb="0" eb="2">
      <t>シケン</t>
    </rPh>
    <phoneticPr fontId="2"/>
  </si>
  <si>
    <t>★</t>
    <phoneticPr fontId="2"/>
  </si>
  <si>
    <t>FT</t>
    <phoneticPr fontId="2"/>
  </si>
  <si>
    <t>ST</t>
    <phoneticPr fontId="2"/>
  </si>
  <si>
    <t>→チェックしない。</t>
    <phoneticPr fontId="2"/>
  </si>
  <si>
    <t>例）</t>
    <rPh sb="0" eb="1">
      <t>レイ</t>
    </rPh>
    <phoneticPr fontId="2"/>
  </si>
  <si>
    <t>項番命名規則をチェックするか。</t>
    <phoneticPr fontId="2"/>
  </si>
  <si>
    <t>02-DIAG</t>
  </si>
  <si>
    <t>02_診断モニタ変更</t>
  </si>
  <si>
    <t>↓</t>
    <phoneticPr fontId="2"/>
  </si>
  <si>
    <t>理由２：</t>
    <rPh sb="0" eb="2">
      <t>リユウ</t>
    </rPh>
    <phoneticPr fontId="2"/>
  </si>
  <si>
    <t>理由１：</t>
    <rPh sb="0" eb="2">
      <t>リユウ</t>
    </rPh>
    <phoneticPr fontId="2"/>
  </si>
  <si>
    <t>本ツールは、「試験実施後のログコミット前」もしくは「リリース前のログ過不足チェック」時点で使用する。</t>
    <rPh sb="0" eb="1">
      <t>ホン</t>
    </rPh>
    <rPh sb="7" eb="9">
      <t>シケン</t>
    </rPh>
    <rPh sb="9" eb="12">
      <t>ジッシゴ</t>
    </rPh>
    <rPh sb="19" eb="20">
      <t>マエ</t>
    </rPh>
    <rPh sb="30" eb="31">
      <t>マエ</t>
    </rPh>
    <rPh sb="34" eb="37">
      <t>カブソク</t>
    </rPh>
    <rPh sb="42" eb="44">
      <t>ジテン</t>
    </rPh>
    <rPh sb="45" eb="47">
      <t>シヨウ</t>
    </rPh>
    <phoneticPr fontId="2"/>
  </si>
  <si>
    <t>項番命名規則は項目書作成時点で決める必要があるものであるため。</t>
    <phoneticPr fontId="2"/>
  </si>
  <si>
    <t>理由３：</t>
    <rPh sb="0" eb="2">
      <t>リユウ</t>
    </rPh>
    <phoneticPr fontId="2"/>
  </si>
  <si>
    <t>ツールでチェックする必要がなくなるため。</t>
    <phoneticPr fontId="2"/>
  </si>
  <si>
    <t>【参考】</t>
    <phoneticPr fontId="2"/>
  </si>
  <si>
    <t>TF22 時点での項番命名規則は以下。</t>
    <rPh sb="5" eb="7">
      <t>ジテン</t>
    </rPh>
    <rPh sb="9" eb="10">
      <t>コウ</t>
    </rPh>
    <rPh sb="10" eb="11">
      <t>バン</t>
    </rPh>
    <rPh sb="11" eb="13">
      <t>メイメイ</t>
    </rPh>
    <rPh sb="13" eb="15">
      <t>キソク</t>
    </rPh>
    <rPh sb="16" eb="18">
      <t>イカ</t>
    </rPh>
    <phoneticPr fontId="2"/>
  </si>
  <si>
    <t>CT</t>
    <phoneticPr fontId="2"/>
  </si>
  <si>
    <t>ex) TF22_CT_05_002</t>
    <phoneticPr fontId="2"/>
  </si>
  <si>
    <t>ex) TF22-02-DIAG-kyv_lo-002</t>
    <phoneticPr fontId="2"/>
  </si>
  <si>
    <t>ex) TF22_ST_03_POF_003</t>
    <phoneticPr fontId="2"/>
  </si>
  <si>
    <t>[開発名]_[案件番号]-[案件ID](_[診断名])_[項目番号]</t>
    <rPh sb="1" eb="3">
      <t>カイハツ</t>
    </rPh>
    <rPh sb="3" eb="4">
      <t>メイ</t>
    </rPh>
    <rPh sb="7" eb="9">
      <t>アンケン</t>
    </rPh>
    <rPh sb="9" eb="11">
      <t>バンゴウ</t>
    </rPh>
    <rPh sb="14" eb="16">
      <t>アンケン</t>
    </rPh>
    <rPh sb="22" eb="24">
      <t>シンダン</t>
    </rPh>
    <rPh sb="24" eb="25">
      <t>メイ</t>
    </rPh>
    <rPh sb="29" eb="31">
      <t>コウモク</t>
    </rPh>
    <rPh sb="31" eb="33">
      <t>バンゴウ</t>
    </rPh>
    <phoneticPr fontId="2"/>
  </si>
  <si>
    <t>[開発名]_CT_[案件番号]_[項番]</t>
    <rPh sb="1" eb="3">
      <t>カイハツ</t>
    </rPh>
    <rPh sb="3" eb="4">
      <t>メイ</t>
    </rPh>
    <rPh sb="10" eb="12">
      <t>アンケン</t>
    </rPh>
    <rPh sb="12" eb="14">
      <t>バンゴウ</t>
    </rPh>
    <rPh sb="17" eb="18">
      <t>コウ</t>
    </rPh>
    <rPh sb="18" eb="19">
      <t>バン</t>
    </rPh>
    <phoneticPr fontId="2"/>
  </si>
  <si>
    <t>[開発名]_ST_[案件番号]_[シート名]_[項番]</t>
    <rPh sb="1" eb="3">
      <t>カイハツ</t>
    </rPh>
    <rPh sb="3" eb="4">
      <t>メイ</t>
    </rPh>
    <rPh sb="10" eb="12">
      <t>アンケン</t>
    </rPh>
    <rPh sb="12" eb="14">
      <t>バンゴウ</t>
    </rPh>
    <rPh sb="20" eb="21">
      <t>メイ</t>
    </rPh>
    <rPh sb="24" eb="25">
      <t>コウ</t>
    </rPh>
    <rPh sb="25" eb="26">
      <t>バン</t>
    </rPh>
    <phoneticPr fontId="2"/>
  </si>
  <si>
    <t>‐</t>
    <phoneticPr fontId="2"/>
  </si>
  <si>
    <t>単体試験 or 結合試験 or 機能試験 or システム試験</t>
    <rPh sb="0" eb="2">
      <t>タンタイ</t>
    </rPh>
    <rPh sb="2" eb="4">
      <t>シケン</t>
    </rPh>
    <rPh sb="8" eb="10">
      <t>ケツゴウ</t>
    </rPh>
    <rPh sb="10" eb="12">
      <t>シケン</t>
    </rPh>
    <rPh sb="16" eb="18">
      <t>キノウ</t>
    </rPh>
    <rPh sb="18" eb="20">
      <t>シケン</t>
    </rPh>
    <rPh sb="28" eb="30">
      <t>シケン</t>
    </rPh>
    <phoneticPr fontId="2"/>
  </si>
  <si>
    <t>指定フォルダ配下の全項目書に対して、試験ログの過不足をチェックする。</t>
    <rPh sb="0" eb="2">
      <t>シテイ</t>
    </rPh>
    <rPh sb="6" eb="8">
      <t>ハイカ</t>
    </rPh>
    <rPh sb="9" eb="10">
      <t>ゼン</t>
    </rPh>
    <rPh sb="10" eb="12">
      <t>コウモク</t>
    </rPh>
    <rPh sb="12" eb="13">
      <t>ショ</t>
    </rPh>
    <rPh sb="14" eb="15">
      <t>タイ</t>
    </rPh>
    <rPh sb="18" eb="20">
      <t>シケン</t>
    </rPh>
    <rPh sb="23" eb="26">
      <t>カブソク</t>
    </rPh>
    <phoneticPr fontId="2"/>
  </si>
  <si>
    <t>※</t>
  </si>
  <si>
    <t>「試験ファイル過不足チェックツール.xls」がチェック可能なのは「単一の項目書」に対してのみであった。</t>
    <rPh sb="27" eb="29">
      <t>カノウ</t>
    </rPh>
    <rPh sb="41" eb="42">
      <t>タイ</t>
    </rPh>
    <phoneticPr fontId="2"/>
  </si>
  <si>
    <t>そのため、本機能が出来れば「試験ファイル過不足チェックツール.xls」は不要となる。</t>
    <rPh sb="5" eb="8">
      <t>ホンキノウ</t>
    </rPh>
    <rPh sb="9" eb="11">
      <t>デキ</t>
    </rPh>
    <rPh sb="36" eb="38">
      <t>フヨウ</t>
    </rPh>
    <phoneticPr fontId="2"/>
  </si>
  <si>
    <t>「コミット自動化機能」を使用せずにコミットした場合を考慮。</t>
    <rPh sb="12" eb="14">
      <t>シヨウ</t>
    </rPh>
    <rPh sb="23" eb="25">
      <t>バアイ</t>
    </rPh>
    <rPh sb="26" eb="28">
      <t>コウリョ</t>
    </rPh>
    <phoneticPr fontId="2"/>
  </si>
  <si>
    <t>コミット自動化機能</t>
    <rPh sb="4" eb="7">
      <t>ジドウカ</t>
    </rPh>
    <rPh sb="7" eb="9">
      <t>キノウ</t>
    </rPh>
    <phoneticPr fontId="2"/>
  </si>
  <si>
    <t>&lt;&lt;チェック内容&gt;&gt;</t>
    <rPh sb="6" eb="8">
      <t>ナイヨウ</t>
    </rPh>
    <phoneticPr fontId="2"/>
  </si>
  <si>
    <t>エラー詳細</t>
    <rPh sb="3" eb="5">
      <t>ショウサイ</t>
    </rPh>
    <phoneticPr fontId="2"/>
  </si>
  <si>
    <t>チェック結果</t>
    <rPh sb="4" eb="6">
      <t>ケッカ</t>
    </rPh>
    <phoneticPr fontId="2"/>
  </si>
  <si>
    <t>エラー数</t>
    <rPh sb="3" eb="4">
      <t>スウ</t>
    </rPh>
    <phoneticPr fontId="2"/>
  </si>
  <si>
    <t>試験項目書ファイル名</t>
    <rPh sb="0" eb="2">
      <t>シケン</t>
    </rPh>
    <rPh sb="2" eb="4">
      <t>コウモク</t>
    </rPh>
    <rPh sb="4" eb="5">
      <t>ショ</t>
    </rPh>
    <rPh sb="9" eb="10">
      <t>メイ</t>
    </rPh>
    <phoneticPr fontId="2"/>
  </si>
  <si>
    <t>項番</t>
    <rPh sb="0" eb="1">
      <t>コウ</t>
    </rPh>
    <rPh sb="1" eb="2">
      <t>バン</t>
    </rPh>
    <phoneticPr fontId="2"/>
  </si>
  <si>
    <t>試験データ</t>
    <rPh sb="0" eb="2">
      <t>シケン</t>
    </rPh>
    <phoneticPr fontId="2"/>
  </si>
  <si>
    <t>シート名</t>
    <rPh sb="3" eb="4">
      <t>メイ</t>
    </rPh>
    <phoneticPr fontId="2"/>
  </si>
  <si>
    <t>属性</t>
    <rPh sb="0" eb="2">
      <t>ゾクセイ</t>
    </rPh>
    <phoneticPr fontId="2"/>
  </si>
  <si>
    <t>ファイルリスト取得</t>
    <rPh sb="7" eb="9">
      <t>シュトク</t>
    </rPh>
    <phoneticPr fontId="2"/>
  </si>
  <si>
    <t>入力情報取得</t>
    <rPh sb="0" eb="2">
      <t>ニュウリョク</t>
    </rPh>
    <rPh sb="2" eb="4">
      <t>ジョウホウ</t>
    </rPh>
    <rPh sb="4" eb="6">
      <t>シュトク</t>
    </rPh>
    <phoneticPr fontId="2"/>
  </si>
  <si>
    <t>項目書名</t>
  </si>
  <si>
    <t>シート情報()</t>
  </si>
  <si>
    <t>シート名</t>
  </si>
  <si>
    <t>項目情報()</t>
  </si>
  <si>
    <t>項番</t>
  </si>
  <si>
    <t>テストログ名()</t>
  </si>
  <si>
    <t>UT 項目書情報 取得</t>
    <rPh sb="3" eb="5">
      <t>コウモク</t>
    </rPh>
    <rPh sb="5" eb="6">
      <t>ショ</t>
    </rPh>
    <rPh sb="6" eb="8">
      <t>ジョウホウ</t>
    </rPh>
    <rPh sb="9" eb="11">
      <t>シュトク</t>
    </rPh>
    <phoneticPr fontId="2"/>
  </si>
  <si>
    <t>項目書情報取得</t>
    <rPh sb="0" eb="2">
      <t>コウモク</t>
    </rPh>
    <rPh sb="2" eb="3">
      <t>ショ</t>
    </rPh>
    <rPh sb="3" eb="5">
      <t>ジョウホウ</t>
    </rPh>
    <rPh sb="5" eb="7">
      <t>シュトク</t>
    </rPh>
    <phoneticPr fontId="2"/>
  </si>
  <si>
    <t>ファイルリスト</t>
    <phoneticPr fontId="2"/>
  </si>
  <si>
    <t>ファイル情報()</t>
    <rPh sb="4" eb="6">
      <t>ジョウホウ</t>
    </rPh>
    <phoneticPr fontId="2"/>
  </si>
  <si>
    <t>属性（ディレクトリ/ファイル）</t>
    <rPh sb="0" eb="2">
      <t>ゾクセイ</t>
    </rPh>
    <phoneticPr fontId="2"/>
  </si>
  <si>
    <t>GetFileList</t>
    <phoneticPr fontId="2"/>
  </si>
  <si>
    <t>コミットダイアログ表示</t>
    <rPh sb="9" eb="11">
      <t>ヒョウジ</t>
    </rPh>
    <phoneticPr fontId="2"/>
  </si>
  <si>
    <t>コミット対象ファイルSVN追加</t>
    <rPh sb="4" eb="6">
      <t>タイショウ</t>
    </rPh>
    <rPh sb="13" eb="15">
      <t>ツイカ</t>
    </rPh>
    <phoneticPr fontId="2"/>
  </si>
  <si>
    <t>備考</t>
    <rPh sb="0" eb="2">
      <t>ビコウ</t>
    </rPh>
    <phoneticPr fontId="2"/>
  </si>
  <si>
    <t>コールツリー</t>
    <phoneticPr fontId="2"/>
  </si>
  <si>
    <t>ソースファイル名</t>
    <phoneticPr fontId="2"/>
  </si>
  <si>
    <t>関数名</t>
    <rPh sb="0" eb="2">
      <t>カンスウ</t>
    </rPh>
    <phoneticPr fontId="2"/>
  </si>
  <si>
    <t>Item ： シート情報Idx</t>
  </si>
  <si>
    <t>Key ： 項目書名\ソースファイル名\関数名\TestCoverLog\ソースファイル名（.cつき）\カバレッジファイル名（関数名.c）</t>
    <rPh sb="44" eb="45">
      <t>メイ</t>
    </rPh>
    <rPh sb="61" eb="62">
      <t>メイ</t>
    </rPh>
    <rPh sb="63" eb="65">
      <t>カンスウ</t>
    </rPh>
    <rPh sb="65" eb="66">
      <t>メイ</t>
    </rPh>
    <phoneticPr fontId="2"/>
  </si>
  <si>
    <t>(A)</t>
    <phoneticPr fontId="2"/>
  </si>
  <si>
    <t>(B)</t>
    <phoneticPr fontId="2"/>
  </si>
  <si>
    <t>(C)</t>
    <phoneticPr fontId="2"/>
  </si>
  <si>
    <t>項目書情報</t>
    <phoneticPr fontId="2"/>
  </si>
  <si>
    <t>赤字はUT 選択時、青字はCT/FT/ST 選択時のみ使用するメンバ。</t>
    <rPh sb="0" eb="2">
      <t>アカジ</t>
    </rPh>
    <rPh sb="10" eb="11">
      <t>アオ</t>
    </rPh>
    <rPh sb="11" eb="12">
      <t>ジ</t>
    </rPh>
    <rPh sb="22" eb="24">
      <t>センタク</t>
    </rPh>
    <rPh sb="24" eb="25">
      <t>ジ</t>
    </rPh>
    <rPh sb="27" eb="29">
      <t>シヨウ</t>
    </rPh>
    <phoneticPr fontId="2"/>
  </si>
  <si>
    <r>
      <t xml:space="preserve">(A) ログファイル名の命名規則がルールどおりか（項番⇔試験データ欄の整合性確認）
</t>
    </r>
    <r>
      <rPr>
        <sz val="11"/>
        <color theme="1"/>
        <rFont val="ＭＳ ゴシック"/>
        <family val="3"/>
        <charset val="128"/>
      </rPr>
      <t>【UT】
・htm、csv、txt が漏れなく存在するか。
・csv ファイルが[関数名]_[項番].csv になっているか
・txt ファイルが[関数名].txt になっているか。
【CT、FT、ST】
・項番とファイル名が一致しているか。
（一致しない場合は Warning とし、処理を進める）</t>
    </r>
    <rPh sb="167" eb="169">
      <t>イッチ</t>
    </rPh>
    <rPh sb="172" eb="174">
      <t>バアイ</t>
    </rPh>
    <rPh sb="187" eb="189">
      <t>ショリ</t>
    </rPh>
    <rPh sb="190" eb="191">
      <t>スス</t>
    </rPh>
    <phoneticPr fontId="2"/>
  </si>
  <si>
    <t>Item ： シート情報Idx_項目情報Idx_テストログIdx</t>
    <phoneticPr fontId="2"/>
  </si>
  <si>
    <t>入力情報</t>
    <rPh sb="0" eb="2">
      <t>ニュウリョク</t>
    </rPh>
    <phoneticPr fontId="2"/>
  </si>
  <si>
    <t>試験フェーズ</t>
    <rPh sb="0" eb="2">
      <t>シケン</t>
    </rPh>
    <phoneticPr fontId="2"/>
  </si>
  <si>
    <t>項目書ファイルパス</t>
    <rPh sb="0" eb="2">
      <t>コウモク</t>
    </rPh>
    <rPh sb="2" eb="3">
      <t>ショ</t>
    </rPh>
    <phoneticPr fontId="2"/>
  </si>
  <si>
    <t>処理概要</t>
    <rPh sb="0" eb="2">
      <t>ショリ</t>
    </rPh>
    <rPh sb="2" eb="4">
      <t>ガイヨウ</t>
    </rPh>
    <phoneticPr fontId="2"/>
  </si>
  <si>
    <t>↑</t>
    <phoneticPr fontId="2"/>
  </si>
  <si>
    <t>ShowCommitDialog</t>
    <phoneticPr fontId="2"/>
  </si>
  <si>
    <t>AddLogFiles2Svn</t>
    <phoneticPr fontId="2"/>
  </si>
  <si>
    <t>ワーニング数</t>
    <rPh sb="5" eb="6">
      <t>スウ</t>
    </rPh>
    <phoneticPr fontId="2"/>
  </si>
  <si>
    <t>ChkTestDataMain</t>
    <phoneticPr fontId="2"/>
  </si>
  <si>
    <t>チェック結果を配列に格納</t>
    <rPh sb="4" eb="6">
      <t>ケッカ</t>
    </rPh>
    <rPh sb="7" eb="9">
      <t>ハイレツ</t>
    </rPh>
    <rPh sb="10" eb="12">
      <t>カクノウ</t>
    </rPh>
    <phoneticPr fontId="2"/>
  </si>
  <si>
    <t>配列内の結果をセルに出力</t>
    <rPh sb="0" eb="2">
      <t>ハイレツ</t>
    </rPh>
    <rPh sb="2" eb="3">
      <t>ナイ</t>
    </rPh>
    <rPh sb="4" eb="6">
      <t>ケッカ</t>
    </rPh>
    <rPh sb="10" eb="12">
      <t>シュツリョク</t>
    </rPh>
    <phoneticPr fontId="2"/>
  </si>
  <si>
    <t>単体試験</t>
  </si>
  <si>
    <t>GetInputInfo</t>
    <phoneticPr fontId="2"/>
  </si>
  <si>
    <t>GetTCDocInfo4UT</t>
    <phoneticPr fontId="2"/>
  </si>
  <si>
    <t>GetTCDocInfo</t>
    <phoneticPr fontId="2"/>
  </si>
  <si>
    <t>GetTCDocInfo4ExceptUT</t>
    <phoneticPr fontId="2"/>
  </si>
  <si>
    <t>CT/FT/ST 項目書情報 取得</t>
    <rPh sb="9" eb="11">
      <t>コウモク</t>
    </rPh>
    <rPh sb="11" eb="12">
      <t>ショ</t>
    </rPh>
    <rPh sb="12" eb="14">
      <t>ジョウホウ</t>
    </rPh>
    <rPh sb="15" eb="17">
      <t>シュトク</t>
    </rPh>
    <phoneticPr fontId="2"/>
  </si>
  <si>
    <t>ファイル/ディレクトリパス（フルパス）</t>
    <phoneticPr fontId="2"/>
  </si>
  <si>
    <t>予[h]</t>
    <rPh sb="0" eb="1">
      <t>ヨ</t>
    </rPh>
    <phoneticPr fontId="2"/>
  </si>
  <si>
    <t>実[h]</t>
    <rPh sb="0" eb="1">
      <t>ジツ</t>
    </rPh>
    <phoneticPr fontId="2"/>
  </si>
  <si>
    <t>TF22-06_COM-IF_V_TX-050</t>
    <phoneticPr fontId="2"/>
  </si>
  <si>
    <t>TF22-06_COM-IF_V_TX-050^066.asc</t>
    <phoneticPr fontId="2"/>
  </si>
  <si>
    <t>試験データ：</t>
    <rPh sb="0" eb="2">
      <t>シケン</t>
    </rPh>
    <phoneticPr fontId="2"/>
  </si>
  <si>
    <t>項番</t>
    <rPh sb="0" eb="1">
      <t>コウ</t>
    </rPh>
    <rPh sb="1" eb="2">
      <t>バン</t>
    </rPh>
    <phoneticPr fontId="2"/>
  </si>
  <si>
    <t>StoreErrMsg</t>
    <phoneticPr fontId="2"/>
  </si>
  <si>
    <t>OutpErrMsg</t>
    <phoneticPr fontId="2"/>
  </si>
  <si>
    <r>
      <t>(C) 試験ログ余分チェック（記載漏れ）</t>
    </r>
    <r>
      <rPr>
        <sz val="11"/>
        <color theme="1"/>
        <rFont val="ＭＳ ゴシック"/>
        <family val="3"/>
        <charset val="128"/>
      </rPr>
      <t xml:space="preserve">
</t>
    </r>
    <r>
      <rPr>
        <b/>
        <sz val="11"/>
        <color theme="1"/>
        <rFont val="ＭＳ ゴシック"/>
        <family val="3"/>
        <charset val="128"/>
      </rPr>
      <t xml:space="preserve">
</t>
    </r>
    <r>
      <rPr>
        <sz val="11"/>
        <color theme="1"/>
        <rFont val="ＭＳ ゴシック"/>
        <family val="3"/>
        <charset val="128"/>
      </rPr>
      <t>【UT】
csv ファイルなら「期待CSVファイルパスリスト」に存在するか。
txt ファイルなら「期待カバレッジファイルパスリスト」に存在するか。
htm ファイルなら「期待テスト報告書ファイルパスリスト」に存在するか。
【CT、FT、ST】
ファイルなら、「期待テストログファイルパスリスト」に存在するか。</t>
    </r>
    <rPh sb="15" eb="17">
      <t>キサイ</t>
    </rPh>
    <rPh sb="17" eb="18">
      <t>モ</t>
    </rPh>
    <rPh sb="172" eb="174">
      <t>ソンザイ</t>
    </rPh>
    <phoneticPr fontId="2"/>
  </si>
  <si>
    <r>
      <t xml:space="preserve">(B) 試験ログ不足チェック（ログ未存在）
</t>
    </r>
    <r>
      <rPr>
        <sz val="11"/>
        <color theme="1"/>
        <rFont val="ＭＳ ゴシック"/>
        <family val="3"/>
        <charset val="128"/>
      </rPr>
      <t>テストデータ欄から「期待ＸＸＸファイルパスリスト」を作って、存在確認を行う。</t>
    </r>
    <rPh sb="17" eb="18">
      <t>ミ</t>
    </rPh>
    <rPh sb="18" eb="20">
      <t>ソンザイ</t>
    </rPh>
    <rPh sb="29" eb="30">
      <t>ラン</t>
    </rPh>
    <rPh sb="33" eb="35">
      <t>キタイ</t>
    </rPh>
    <rPh sb="49" eb="50">
      <t>ツク</t>
    </rPh>
    <rPh sb="53" eb="55">
      <t>ソンザイ</t>
    </rPh>
    <rPh sb="55" eb="57">
      <t>カクニン</t>
    </rPh>
    <rPh sb="58" eb="59">
      <t>オコナ</t>
    </rPh>
    <phoneticPr fontId="2"/>
  </si>
  <si>
    <t>ChkExistLogFileMain</t>
    <phoneticPr fontId="2"/>
  </si>
  <si>
    <t>以下を許す？→ Warning のみとする。</t>
    <rPh sb="0" eb="2">
      <t>イカ</t>
    </rPh>
    <rPh sb="3" eb="4">
      <t>ユル</t>
    </rPh>
    <phoneticPr fontId="2"/>
  </si>
  <si>
    <t>★</t>
    <phoneticPr fontId="2"/>
  </si>
  <si>
    <t>リファクタリング</t>
    <phoneticPr fontId="2"/>
  </si>
  <si>
    <t>ブック数分作る。</t>
    <rPh sb="3" eb="4">
      <t>スウ</t>
    </rPh>
    <rPh sb="4" eb="5">
      <t>ブン</t>
    </rPh>
    <rPh sb="5" eb="6">
      <t>ツク</t>
    </rPh>
    <phoneticPr fontId="2"/>
  </si>
  <si>
    <t>フォルダ構成を知っている人を限る</t>
    <rPh sb="4" eb="6">
      <t>コウセイ</t>
    </rPh>
    <rPh sb="7" eb="8">
      <t>シ</t>
    </rPh>
    <rPh sb="12" eb="13">
      <t>ヒト</t>
    </rPh>
    <rPh sb="14" eb="15">
      <t>カギ</t>
    </rPh>
    <phoneticPr fontId="2"/>
  </si>
  <si>
    <t>C:\Coffer\svn_PTM\trunk\03_管理\30_ツール\test\TF2次プロト2nd単体試験項目書_02_診断モニタ変更_dgMonCanLocalComErr-16686.xls</t>
  </si>
  <si>
    <t>結合試験</t>
    <rPh sb="0" eb="2">
      <t>ケツゴウ</t>
    </rPh>
    <rPh sb="2" eb="4">
      <t>シケン</t>
    </rPh>
    <phoneticPr fontId="2"/>
  </si>
  <si>
    <t>C:\Coffer\svn_PTM\trunk\03_管理\30_ツール\test\TF2次プロト2nd結合項目書_04_起動終了シーケンス変更-16852.xlsx</t>
    <phoneticPr fontId="2"/>
  </si>
  <si>
    <t>機能試験</t>
    <rPh sb="0" eb="2">
      <t>キノウ</t>
    </rPh>
    <rPh sb="2" eb="4">
      <t>シケン</t>
    </rPh>
    <phoneticPr fontId="2"/>
  </si>
  <si>
    <t>C:\Coffer\svn_PTM\trunk\03_管理\30_ツール\test\TF2次プロト2nd機能試験項目書_06_CAN(データ)-17108.xls</t>
    <phoneticPr fontId="2"/>
  </si>
  <si>
    <t>C:\Coffer\svn_PTM\trunk\03_管理\30_ツール\test\TF2次プロト2nd機能試験項目書_01_診断マネージャ(MNG)-17022.xls</t>
    <phoneticPr fontId="2"/>
  </si>
  <si>
    <t>C:\Coffer\svn_PTM\trunk\03_管理\30_ツール\test\ST</t>
    <phoneticPr fontId="2"/>
  </si>
  <si>
    <t>システム試験</t>
    <rPh sb="4" eb="6">
      <t>シケン</t>
    </rPh>
    <phoneticPr fontId="2"/>
  </si>
  <si>
    <t>ChkTestDataOmissionMain</t>
    <phoneticPr fontId="2"/>
  </si>
  <si>
    <t>ファイル名</t>
    <rPh sb="4" eb="5">
      <t>メイ</t>
    </rPh>
    <phoneticPr fontId="2"/>
  </si>
  <si>
    <t>パス</t>
    <phoneticPr fontId="2"/>
  </si>
  <si>
    <t>C:\Coffer\svn_PTM\trunk\03_管理\30_ツール\test\TF2次プロト2ndシステム試験項目書-17650.xlsx</t>
    <phoneticPr fontId="2"/>
  </si>
  <si>
    <t>試験項目書の試験データ欄に記載されているログファイル名が命名規則と合致しているか確認する。</t>
    <rPh sb="0" eb="2">
      <t>シケン</t>
    </rPh>
    <rPh sb="2" eb="4">
      <t>コウモク</t>
    </rPh>
    <rPh sb="4" eb="5">
      <t>ショ</t>
    </rPh>
    <rPh sb="6" eb="8">
      <t>シケン</t>
    </rPh>
    <rPh sb="11" eb="12">
      <t>ラン</t>
    </rPh>
    <rPh sb="13" eb="15">
      <t>キサイ</t>
    </rPh>
    <rPh sb="26" eb="27">
      <t>メイ</t>
    </rPh>
    <rPh sb="28" eb="30">
      <t>メイメイ</t>
    </rPh>
    <rPh sb="30" eb="32">
      <t>キソク</t>
    </rPh>
    <rPh sb="33" eb="35">
      <t>ガッチ</t>
    </rPh>
    <rPh sb="40" eb="42">
      <t>カクニン</t>
    </rPh>
    <phoneticPr fontId="2"/>
  </si>
  <si>
    <t>試験ログ不足チェック</t>
    <phoneticPr fontId="2"/>
  </si>
  <si>
    <t>(B) 試験ログファイル不足チェック</t>
  </si>
  <si>
    <t>(B) 試験ログファイル不足チェック</t>
    <phoneticPr fontId="2"/>
  </si>
  <si>
    <t>試験項目書の試験データ欄に記載されているログファイルが試験ログフォルダ配下に存在するか確認する。</t>
    <rPh sb="0" eb="2">
      <t>シケン</t>
    </rPh>
    <rPh sb="2" eb="4">
      <t>コウモク</t>
    </rPh>
    <rPh sb="4" eb="5">
      <t>ショ</t>
    </rPh>
    <rPh sb="6" eb="8">
      <t>シケン</t>
    </rPh>
    <rPh sb="11" eb="12">
      <t>ラン</t>
    </rPh>
    <rPh sb="13" eb="15">
      <t>キサイ</t>
    </rPh>
    <rPh sb="27" eb="29">
      <t>シケン</t>
    </rPh>
    <rPh sb="35" eb="37">
      <t>ハイカ</t>
    </rPh>
    <rPh sb="38" eb="40">
      <t>ソンザイ</t>
    </rPh>
    <rPh sb="43" eb="45">
      <t>カクニン</t>
    </rPh>
    <phoneticPr fontId="2"/>
  </si>
  <si>
    <t>試験ログ余分チェック</t>
    <phoneticPr fontId="2"/>
  </si>
  <si>
    <t>(C) 試験ログファイル余分チェック</t>
  </si>
  <si>
    <t>(C) 試験ログファイル余分チェック</t>
    <phoneticPr fontId="2"/>
  </si>
  <si>
    <t>試験ログフォルダ配下に格納されたログファイルが、試験項目書の試験データ欄に記載されているか確認する。</t>
    <rPh sb="11" eb="13">
      <t>カクノウ</t>
    </rPh>
    <rPh sb="24" eb="26">
      <t>シケン</t>
    </rPh>
    <rPh sb="26" eb="28">
      <t>コウモク</t>
    </rPh>
    <rPh sb="28" eb="29">
      <t>ショ</t>
    </rPh>
    <rPh sb="30" eb="32">
      <t>シケン</t>
    </rPh>
    <rPh sb="35" eb="36">
      <t>ラン</t>
    </rPh>
    <rPh sb="37" eb="39">
      <t>キサイ</t>
    </rPh>
    <rPh sb="45" eb="47">
      <t>カクニン</t>
    </rPh>
    <phoneticPr fontId="2"/>
  </si>
  <si>
    <t>(A) ログファイル名命名規則チェック</t>
    <phoneticPr fontId="2"/>
  </si>
  <si>
    <t>■確認結果まとめ</t>
    <rPh sb="1" eb="3">
      <t>カクニン</t>
    </rPh>
    <rPh sb="3" eb="5">
      <t>ケッカ</t>
    </rPh>
    <phoneticPr fontId="2"/>
  </si>
  <si>
    <t>合計</t>
    <rPh sb="0" eb="2">
      <t>ゴウケイ</t>
    </rPh>
    <phoneticPr fontId="2"/>
  </si>
  <si>
    <t>項番などを拾っておく</t>
    <rPh sb="0" eb="1">
      <t>コウ</t>
    </rPh>
    <rPh sb="1" eb="2">
      <t>バン</t>
    </rPh>
    <rPh sb="5" eb="6">
      <t>ヒロ</t>
    </rPh>
    <phoneticPr fontId="2"/>
  </si>
  <si>
    <t>C:\Coffer\svn_PTM\trunk\03_管理\30_ツール\test\ST2</t>
    <phoneticPr fontId="2"/>
  </si>
  <si>
    <t>C:\Coffer\svn_PTM\trunk\03_管理\30_ツール\test\TF2次プロト2ndシステム試験項目書-17650_○.xlsx</t>
    <phoneticPr fontId="2"/>
  </si>
  <si>
    <t>コマンドプロンプトを非表示にする。</t>
    <rPh sb="10" eb="13">
      <t>ヒヒョウジ</t>
    </rPh>
    <phoneticPr fontId="2"/>
  </si>
  <si>
    <t>機能追加</t>
    <rPh sb="0" eb="2">
      <t>キノウ</t>
    </rPh>
    <rPh sb="2" eb="4">
      <t>ツイカ</t>
    </rPh>
    <phoneticPr fontId="2"/>
  </si>
  <si>
    <t>①</t>
    <phoneticPr fontId="2"/>
  </si>
  <si>
    <t>フォルダ単位でのログ過不足チェック機能</t>
    <rPh sb="4" eb="6">
      <t>タンイ</t>
    </rPh>
    <rPh sb="10" eb="13">
      <t>カブソク</t>
    </rPh>
    <rPh sb="17" eb="19">
      <t>キノウ</t>
    </rPh>
    <phoneticPr fontId="2"/>
  </si>
  <si>
    <t>②</t>
    <phoneticPr fontId="2"/>
  </si>
  <si>
    <t>-</t>
    <phoneticPr fontId="2"/>
  </si>
  <si>
    <t>C:\Coffer\svn_PTM\trunk\03_管理\30_ツール\test\TF2次プロト2nd単体試験項目書_02_診断モニタ変更_dgMonCanLocalComErr-16686_○.xls</t>
    <phoneticPr fontId="2"/>
  </si>
  <si>
    <t>C:\Coffer\svn_PTM\trunk\03_管理\30_ツール\test\TF2次プロト2ndシステム試験項目書-17650_○○.xlsx</t>
    <phoneticPr fontId="2"/>
  </si>
  <si>
    <t>C:\Coffer\svn_PTM\trunk\03_管理\30_ツール\test\ST3</t>
    <phoneticPr fontId="2"/>
  </si>
  <si>
    <t>案件名</t>
    <rPh sb="0" eb="2">
      <t>アンケン</t>
    </rPh>
    <rPh sb="2" eb="3">
      <t>メイ</t>
    </rPh>
    <phoneticPr fontId="2"/>
  </si>
  <si>
    <t>-</t>
    <phoneticPr fontId="2"/>
  </si>
  <si>
    <t>04_起動終了シーケンス変更</t>
  </si>
  <si>
    <t>01_診断マネージャ</t>
  </si>
  <si>
    <t>06_CANメッセージ変更</t>
  </si>
  <si>
    <t>C:\Coffer\svn_PTM\trunk\03_管理\30_ツール\test\UT</t>
    <phoneticPr fontId="2"/>
  </si>
  <si>
    <t>C:\Coffer\svn_PTM\trunk\03_管理\30_ツール\test\UT2</t>
    <phoneticPr fontId="2"/>
  </si>
  <si>
    <t>C:\Coffer\svn_PTM\trunk\03_管理\30_ツール\test\CT</t>
    <phoneticPr fontId="2"/>
  </si>
  <si>
    <t>C:\Coffer\svn_PTM\trunk\03_管理\30_ツール\test\FT</t>
    <phoneticPr fontId="2"/>
  </si>
  <si>
    <t>Key ： 項目書名\ソースファイル名\関数名\csv ファイル名</t>
    <rPh sb="6" eb="8">
      <t>コウモク</t>
    </rPh>
    <rPh sb="8" eb="10">
      <t>ショメイ</t>
    </rPh>
    <rPh sb="32" eb="33">
      <t>メイ</t>
    </rPh>
    <phoneticPr fontId="2"/>
  </si>
  <si>
    <t>Key ： 項目書名\ソースファイル名\関数名\テスト報告書.htm</t>
    <rPh sb="18" eb="19">
      <t>メイ</t>
    </rPh>
    <rPh sb="20" eb="22">
      <t>カンスウ</t>
    </rPh>
    <rPh sb="22" eb="23">
      <t>メイ</t>
    </rPh>
    <rPh sb="27" eb="30">
      <t>ホウコクショ</t>
    </rPh>
    <phoneticPr fontId="2"/>
  </si>
  <si>
    <t>Key ： 項目書名\シート名\テストログファイル名</t>
    <rPh sb="14" eb="15">
      <t>メイ</t>
    </rPh>
    <rPh sb="25" eb="26">
      <t>メイ</t>
    </rPh>
    <phoneticPr fontId="2"/>
  </si>
  <si>
    <t>リリースノート</t>
    <phoneticPr fontId="24"/>
  </si>
  <si>
    <t>日付</t>
    <rPh sb="0" eb="2">
      <t>ヒヅケ</t>
    </rPh>
    <phoneticPr fontId="24"/>
  </si>
  <si>
    <t>バージョン</t>
    <phoneticPr fontId="24"/>
  </si>
  <si>
    <t>担当</t>
    <rPh sb="0" eb="2">
      <t>タントウ</t>
    </rPh>
    <phoneticPr fontId="24"/>
  </si>
  <si>
    <t>変更点</t>
    <rPh sb="0" eb="3">
      <t>ヘンコウテン</t>
    </rPh>
    <phoneticPr fontId="24"/>
  </si>
  <si>
    <t>1.0.0</t>
    <phoneticPr fontId="24"/>
  </si>
  <si>
    <t>遠藤</t>
    <rPh sb="0" eb="2">
      <t>エンドウ</t>
    </rPh>
    <phoneticPr fontId="24"/>
  </si>
  <si>
    <t>・初版作成</t>
    <rPh sb="1" eb="3">
      <t>ショハン</t>
    </rPh>
    <rPh sb="3" eb="5">
      <t>サクセイ</t>
    </rPh>
    <phoneticPr fontId="24"/>
  </si>
  <si>
    <t>&lt;&lt;単体試験&gt;&gt;</t>
    <rPh sb="2" eb="4">
      <t>タンタイ</t>
    </rPh>
    <rPh sb="4" eb="6">
      <t>シケン</t>
    </rPh>
    <phoneticPr fontId="2"/>
  </si>
  <si>
    <t>・[関数名]_[項番].csv</t>
    <rPh sb="2" eb="5">
      <t>カンスウメイ</t>
    </rPh>
    <rPh sb="8" eb="9">
      <t>コウ</t>
    </rPh>
    <rPh sb="9" eb="10">
      <t>バン</t>
    </rPh>
    <phoneticPr fontId="2"/>
  </si>
  <si>
    <t>・テスト結果報告書.htm</t>
    <phoneticPr fontId="2"/>
  </si>
  <si>
    <t>・[関数名].txt</t>
    <rPh sb="2" eb="5">
      <t>カンスウメイ</t>
    </rPh>
    <phoneticPr fontId="2"/>
  </si>
  <si>
    <t>&lt;&lt;結合試験&gt;&gt;</t>
    <rPh sb="2" eb="4">
      <t>ケツゴウ</t>
    </rPh>
    <rPh sb="4" eb="6">
      <t>シケン</t>
    </rPh>
    <phoneticPr fontId="2"/>
  </si>
  <si>
    <t>&lt;&lt;機能試験&gt;&gt;</t>
    <rPh sb="2" eb="4">
      <t>キノウ</t>
    </rPh>
    <rPh sb="4" eb="6">
      <t>シケン</t>
    </rPh>
    <phoneticPr fontId="2"/>
  </si>
  <si>
    <t>&lt;&lt;システム試験&gt;&gt;</t>
    <rPh sb="6" eb="8">
      <t>シケン</t>
    </rPh>
    <phoneticPr fontId="2"/>
  </si>
  <si>
    <t>・[項番].[拡張子] (※)</t>
    <rPh sb="2" eb="3">
      <t>コウ</t>
    </rPh>
    <rPh sb="3" eb="4">
      <t>バン</t>
    </rPh>
    <rPh sb="7" eb="10">
      <t>カクチョウシ</t>
    </rPh>
    <phoneticPr fontId="2"/>
  </si>
  <si>
    <t>&lt;&lt;結合、機能、システム試験&gt;&gt;</t>
    <rPh sb="2" eb="4">
      <t>ケツゴウ</t>
    </rPh>
    <rPh sb="5" eb="7">
      <t>キノウ</t>
    </rPh>
    <rPh sb="12" eb="14">
      <t>シケン</t>
    </rPh>
    <phoneticPr fontId="2"/>
  </si>
  <si>
    <t>また、ログファイルは１項目に対して複数のログファイルが必要であり、項番とファイル名が完全に一致するとは限らない。</t>
    <rPh sb="11" eb="13">
      <t>コウモク</t>
    </rPh>
    <rPh sb="14" eb="15">
      <t>タイ</t>
    </rPh>
    <rPh sb="17" eb="19">
      <t>フクスウ</t>
    </rPh>
    <rPh sb="27" eb="29">
      <t>ヒツヨウ</t>
    </rPh>
    <rPh sb="33" eb="34">
      <t>コウ</t>
    </rPh>
    <rPh sb="34" eb="35">
      <t>バン</t>
    </rPh>
    <rPh sb="40" eb="41">
      <t>メイ</t>
    </rPh>
    <rPh sb="42" eb="44">
      <t>カンゼン</t>
    </rPh>
    <rPh sb="45" eb="47">
      <t>イッチ</t>
    </rPh>
    <rPh sb="51" eb="52">
      <t>カギ</t>
    </rPh>
    <phoneticPr fontId="2"/>
  </si>
  <si>
    <t>-項番-</t>
    <rPh sb="1" eb="2">
      <t>コウ</t>
    </rPh>
    <rPh sb="2" eb="3">
      <t>バン</t>
    </rPh>
    <phoneticPr fontId="2"/>
  </si>
  <si>
    <t>TF22_ST_02_PON_001.txt</t>
    <phoneticPr fontId="2"/>
  </si>
  <si>
    <t>-試験ログファイル名-</t>
    <rPh sb="1" eb="3">
      <t>シケン</t>
    </rPh>
    <rPh sb="9" eb="10">
      <t>メイ</t>
    </rPh>
    <phoneticPr fontId="2"/>
  </si>
  <si>
    <t>例１）</t>
    <rPh sb="0" eb="1">
      <t>レイ</t>
    </rPh>
    <phoneticPr fontId="2"/>
  </si>
  <si>
    <t>例２）</t>
    <rPh sb="0" eb="1">
      <t>レイ</t>
    </rPh>
    <phoneticPr fontId="2"/>
  </si>
  <si>
    <t>例３）</t>
    <rPh sb="0" eb="1">
      <t>レイ</t>
    </rPh>
    <phoneticPr fontId="2"/>
  </si>
  <si>
    <t>TF22_ST_02_PON_001.txt</t>
    <phoneticPr fontId="2"/>
  </si>
  <si>
    <t>TF22_ST_02_PON_01.txt</t>
    <phoneticPr fontId="2"/>
  </si>
  <si>
    <t>TF22_ST_02_PON_001_オシロ_3v.png</t>
    <phoneticPr fontId="2"/>
  </si>
  <si>
    <t>→ 「項番」の文字列と完全一致のため、OK！</t>
    <rPh sb="3" eb="4">
      <t>コウ</t>
    </rPh>
    <rPh sb="4" eb="5">
      <t>バン</t>
    </rPh>
    <rPh sb="7" eb="10">
      <t>モジレツ</t>
    </rPh>
    <rPh sb="11" eb="13">
      <t>カンゼン</t>
    </rPh>
    <rPh sb="13" eb="15">
      <t>イッチ</t>
    </rPh>
    <phoneticPr fontId="2"/>
  </si>
  <si>
    <t>→ ０が足りないため、NG！</t>
    <rPh sb="4" eb="5">
      <t>タ</t>
    </rPh>
    <phoneticPr fontId="2"/>
  </si>
  <si>
    <t>→ 「項番」の文字列が漏れなく入っているため、OK！</t>
    <rPh sb="3" eb="4">
      <t>コウ</t>
    </rPh>
    <rPh sb="4" eb="5">
      <t>バン</t>
    </rPh>
    <rPh sb="7" eb="10">
      <t>モジレツ</t>
    </rPh>
    <rPh sb="11" eb="12">
      <t>モ</t>
    </rPh>
    <rPh sb="15" eb="16">
      <t>ハイ</t>
    </rPh>
    <phoneticPr fontId="2"/>
  </si>
  <si>
    <t>・結合、機能、システム試験のログは、上記規則を反していても Warning のみとする。（補足ファイルを置くことを考慮）</t>
    <rPh sb="18" eb="20">
      <t>ジョウキ</t>
    </rPh>
    <rPh sb="20" eb="22">
      <t>キソク</t>
    </rPh>
    <rPh sb="23" eb="24">
      <t>ハン</t>
    </rPh>
    <phoneticPr fontId="2"/>
  </si>
  <si>
    <t>そのため、「項番の文字列が全て入っているか」のみをチェックし、余分な文字が入っていても無視する。</t>
    <rPh sb="31" eb="33">
      <t>ヨブン</t>
    </rPh>
    <rPh sb="34" eb="36">
      <t>モジ</t>
    </rPh>
    <rPh sb="37" eb="38">
      <t>ハイ</t>
    </rPh>
    <rPh sb="43" eb="45">
      <t>ムシ</t>
    </rPh>
    <phoneticPr fontId="2"/>
  </si>
  <si>
    <t>(※) 結合、機能、システム試験ログについて</t>
    <rPh sb="4" eb="6">
      <t>ケツゴウ</t>
    </rPh>
    <rPh sb="7" eb="9">
      <t>キノウ</t>
    </rPh>
    <rPh sb="14" eb="16">
      <t>シケン</t>
    </rPh>
    <phoneticPr fontId="2"/>
  </si>
  <si>
    <t>├ [関数名]_[項番].csv</t>
    <rPh sb="3" eb="6">
      <t>カンスウメイ</t>
    </rPh>
    <rPh sb="9" eb="10">
      <t>コウ</t>
    </rPh>
    <rPh sb="10" eb="11">
      <t>バン</t>
    </rPh>
    <phoneticPr fontId="2"/>
  </si>
  <si>
    <t>├ テスト結果報告書.htm</t>
  </si>
  <si>
    <t>├ テスト結果報告書.htm</t>
    <phoneticPr fontId="2"/>
  </si>
  <si>
    <t>└ TestCoverLog</t>
  </si>
  <si>
    <t>└ [ソースファイル名（拡張子あり）]</t>
    <rPh sb="10" eb="11">
      <t>メイ</t>
    </rPh>
    <phoneticPr fontId="2"/>
  </si>
  <si>
    <t>└ [関数名].txt</t>
    <rPh sb="3" eb="6">
      <t>カンスウメイ</t>
    </rPh>
    <phoneticPr fontId="2"/>
  </si>
  <si>
    <t>└ [関数名]</t>
    <rPh sb="3" eb="6">
      <t>カンスウメイ</t>
    </rPh>
    <phoneticPr fontId="2"/>
  </si>
  <si>
    <t>└ [ソースファイル名（拡張子なし）]</t>
    <rPh sb="10" eb="11">
      <t>メイ</t>
    </rPh>
    <rPh sb="12" eb="15">
      <t>カクチョウシ</t>
    </rPh>
    <phoneticPr fontId="2"/>
  </si>
  <si>
    <t>└ [項目書ファイル名（拡張子なし）]</t>
    <rPh sb="3" eb="5">
      <t>コウモク</t>
    </rPh>
    <rPh sb="5" eb="6">
      <t>ショ</t>
    </rPh>
    <rPh sb="10" eb="11">
      <t>メイ</t>
    </rPh>
    <phoneticPr fontId="2"/>
  </si>
  <si>
    <t>└ [案件名]</t>
    <rPh sb="3" eb="5">
      <t>アンケン</t>
    </rPh>
    <rPh sb="5" eb="6">
      <t>メイ</t>
    </rPh>
    <phoneticPr fontId="2"/>
  </si>
  <si>
    <t>└ [シート名]</t>
    <rPh sb="6" eb="7">
      <t>メイ</t>
    </rPh>
    <phoneticPr fontId="2"/>
  </si>
  <si>
    <t>└ [項番].[拡張子]</t>
    <rPh sb="3" eb="4">
      <t>コウ</t>
    </rPh>
    <rPh sb="4" eb="5">
      <t>バン</t>
    </rPh>
    <rPh sb="8" eb="11">
      <t>カクチョウシ</t>
    </rPh>
    <phoneticPr fontId="2"/>
  </si>
  <si>
    <t>試験項目書内の「試験データ欄」に記載のないログファイルが格納されていないかを確認する。</t>
    <rPh sb="0" eb="2">
      <t>シケン</t>
    </rPh>
    <rPh sb="2" eb="4">
      <t>コウモク</t>
    </rPh>
    <rPh sb="4" eb="5">
      <t>ショ</t>
    </rPh>
    <rPh sb="5" eb="6">
      <t>ナイ</t>
    </rPh>
    <rPh sb="8" eb="10">
      <t>シケン</t>
    </rPh>
    <rPh sb="13" eb="14">
      <t>ラン</t>
    </rPh>
    <rPh sb="16" eb="18">
      <t>キサイ</t>
    </rPh>
    <rPh sb="28" eb="30">
      <t>カクノウ</t>
    </rPh>
    <rPh sb="38" eb="40">
      <t>カクニン</t>
    </rPh>
    <phoneticPr fontId="2"/>
  </si>
  <si>
    <t>■概要</t>
    <rPh sb="1" eb="3">
      <t>ガイヨウ</t>
    </rPh>
    <phoneticPr fontId="2"/>
  </si>
  <si>
    <t>■チェック内容詳細</t>
    <rPh sb="5" eb="7">
      <t>ナイヨウ</t>
    </rPh>
    <rPh sb="7" eb="9">
      <t>ショウサイ</t>
    </rPh>
    <phoneticPr fontId="2"/>
  </si>
  <si>
    <t>試験項目書内の「試験データ欄」に記載されているログファイル名が命名規則に則っているかチェックする。</t>
    <rPh sb="0" eb="2">
      <t>シケン</t>
    </rPh>
    <rPh sb="2" eb="4">
      <t>コウモク</t>
    </rPh>
    <rPh sb="4" eb="5">
      <t>ショ</t>
    </rPh>
    <rPh sb="5" eb="6">
      <t>ナイ</t>
    </rPh>
    <rPh sb="8" eb="10">
      <t>シケン</t>
    </rPh>
    <rPh sb="13" eb="14">
      <t>ラン</t>
    </rPh>
    <rPh sb="16" eb="18">
      <t>キサイ</t>
    </rPh>
    <rPh sb="29" eb="30">
      <t>メイ</t>
    </rPh>
    <rPh sb="31" eb="33">
      <t>メイメイ</t>
    </rPh>
    <rPh sb="33" eb="35">
      <t>キソク</t>
    </rPh>
    <phoneticPr fontId="2"/>
  </si>
  <si>
    <t>①</t>
    <phoneticPr fontId="2"/>
  </si>
  <si>
    <t>②</t>
    <phoneticPr fontId="2"/>
  </si>
  <si>
    <t>同シートの「チェック処理＆コミット実行！」ボタンを押下。</t>
    <rPh sb="0" eb="1">
      <t>ドウ</t>
    </rPh>
    <rPh sb="10" eb="12">
      <t>ショリ</t>
    </rPh>
    <rPh sb="17" eb="19">
      <t>ジッコウ</t>
    </rPh>
    <rPh sb="25" eb="27">
      <t>オウカ</t>
    </rPh>
    <phoneticPr fontId="2"/>
  </si>
  <si>
    <r>
      <t>以下のチェックを行う。（詳細なチェック内容は</t>
    </r>
    <r>
      <rPr>
        <u/>
        <sz val="11"/>
        <color theme="1"/>
        <rFont val="ＭＳ Ｐゴシック"/>
        <family val="3"/>
        <charset val="128"/>
        <scheme val="minor"/>
      </rPr>
      <t>「チェック内容詳細」シート</t>
    </r>
    <r>
      <rPr>
        <sz val="11"/>
        <color theme="1"/>
        <rFont val="ＭＳ Ｐゴシック"/>
        <family val="2"/>
        <scheme val="minor"/>
      </rPr>
      <t>参照）</t>
    </r>
    <rPh sb="0" eb="2">
      <t>イカ</t>
    </rPh>
    <rPh sb="8" eb="9">
      <t>オコナ</t>
    </rPh>
    <phoneticPr fontId="2"/>
  </si>
  <si>
    <t>31_単体試験ログ</t>
  </si>
  <si>
    <t>31_単体試験ログ</t>
    <phoneticPr fontId="2"/>
  </si>
  <si>
    <t>41_結合試験ログ</t>
  </si>
  <si>
    <t>41_結合試験ログ</t>
    <phoneticPr fontId="2"/>
  </si>
  <si>
    <t>51_機能試験ログ</t>
  </si>
  <si>
    <t>51_機能試験ログ</t>
    <phoneticPr fontId="2"/>
  </si>
  <si>
    <t>61_システム試験ログ</t>
  </si>
  <si>
    <t>61_システム試験ログ</t>
    <phoneticPr fontId="2"/>
  </si>
  <si>
    <t>③</t>
    <phoneticPr fontId="2"/>
  </si>
  <si>
    <r>
      <t>・項目が記載されているシート名に文字列</t>
    </r>
    <r>
      <rPr>
        <u/>
        <sz val="11"/>
        <color theme="1"/>
        <rFont val="ＭＳ Ｐゴシック"/>
        <family val="3"/>
        <charset val="128"/>
        <scheme val="minor"/>
      </rPr>
      <t>「試験項目」</t>
    </r>
    <r>
      <rPr>
        <sz val="11"/>
        <color theme="1"/>
        <rFont val="ＭＳ Ｐゴシック"/>
        <family val="2"/>
        <scheme val="minor"/>
      </rPr>
      <t>が付与されていることを確認する。</t>
    </r>
    <rPh sb="1" eb="3">
      <t>コウモク</t>
    </rPh>
    <rPh sb="4" eb="6">
      <t>キサイ</t>
    </rPh>
    <rPh sb="14" eb="15">
      <t>メイ</t>
    </rPh>
    <rPh sb="16" eb="19">
      <t>モジレツ</t>
    </rPh>
    <rPh sb="20" eb="22">
      <t>シケン</t>
    </rPh>
    <rPh sb="22" eb="24">
      <t>コウモク</t>
    </rPh>
    <rPh sb="26" eb="28">
      <t>フヨ</t>
    </rPh>
    <rPh sb="36" eb="38">
      <t>カクニン</t>
    </rPh>
    <phoneticPr fontId="2"/>
  </si>
  <si>
    <t>◇チェック内容詳細</t>
    <rPh sb="5" eb="7">
      <t>ナイヨウ</t>
    </rPh>
    <rPh sb="7" eb="9">
      <t>ショウサイ</t>
    </rPh>
    <phoneticPr fontId="2"/>
  </si>
  <si>
    <t>◇チェック内容イメージ</t>
    <rPh sb="5" eb="7">
      <t>ナイヨウ</t>
    </rPh>
    <phoneticPr fontId="2"/>
  </si>
  <si>
    <r>
      <t>・項目が記載されているシート内に</t>
    </r>
    <r>
      <rPr>
        <u/>
        <sz val="11"/>
        <color theme="1"/>
        <rFont val="ＭＳ Ｐゴシック"/>
        <family val="3"/>
        <charset val="128"/>
        <scheme val="minor"/>
      </rPr>
      <t>「項番」「試験データ」</t>
    </r>
    <r>
      <rPr>
        <sz val="11"/>
        <color theme="1"/>
        <rFont val="ＭＳ Ｐゴシック"/>
        <family val="2"/>
        <scheme val="minor"/>
      </rPr>
      <t>列が記載されていることを確認する。</t>
    </r>
    <rPh sb="14" eb="15">
      <t>ナイ</t>
    </rPh>
    <rPh sb="17" eb="18">
      <t>コウ</t>
    </rPh>
    <rPh sb="18" eb="19">
      <t>バン</t>
    </rPh>
    <rPh sb="21" eb="23">
      <t>シケン</t>
    </rPh>
    <rPh sb="27" eb="28">
      <t>レツ</t>
    </rPh>
    <rPh sb="29" eb="31">
      <t>キサイ</t>
    </rPh>
    <rPh sb="39" eb="41">
      <t>カクニン</t>
    </rPh>
    <phoneticPr fontId="2"/>
  </si>
  <si>
    <t>◇目的</t>
    <rPh sb="1" eb="3">
      <t>モクテキ</t>
    </rPh>
    <phoneticPr fontId="2"/>
  </si>
  <si>
    <t>◇機能概要</t>
    <rPh sb="1" eb="3">
      <t>キノウ</t>
    </rPh>
    <rPh sb="3" eb="5">
      <t>ガイヨウ</t>
    </rPh>
    <phoneticPr fontId="2"/>
  </si>
  <si>
    <t>◇手順</t>
    <rPh sb="1" eb="3">
      <t>テジュン</t>
    </rPh>
    <phoneticPr fontId="2"/>
  </si>
  <si>
    <t>◇困ったとき</t>
    <rPh sb="1" eb="2">
      <t>コマ</t>
    </rPh>
    <phoneticPr fontId="2"/>
  </si>
  <si>
    <t>・コミット時、以下のようなエラーが発生する場合がある。</t>
    <phoneticPr fontId="2"/>
  </si>
  <si>
    <t>ログファイル名チェック</t>
    <phoneticPr fontId="2"/>
  </si>
  <si>
    <t>試験項目書内の「試験データ欄」に記載されているログファイル名が命名規則に則っているかチェックする。命名規則は以下の通り。</t>
    <rPh sb="0" eb="2">
      <t>シケン</t>
    </rPh>
    <rPh sb="2" eb="4">
      <t>コウモク</t>
    </rPh>
    <rPh sb="4" eb="5">
      <t>ショ</t>
    </rPh>
    <rPh sb="5" eb="6">
      <t>ナイ</t>
    </rPh>
    <rPh sb="8" eb="10">
      <t>シケン</t>
    </rPh>
    <rPh sb="13" eb="14">
      <t>ラン</t>
    </rPh>
    <rPh sb="16" eb="18">
      <t>キサイ</t>
    </rPh>
    <rPh sb="29" eb="30">
      <t>メイ</t>
    </rPh>
    <rPh sb="31" eb="33">
      <t>メイメイ</t>
    </rPh>
    <rPh sb="33" eb="35">
      <t>キソク</t>
    </rPh>
    <phoneticPr fontId="2"/>
  </si>
  <si>
    <t>上記エラーが発生した場合、「C:\Coffer\svn_PTM\trunk\03_管理\30_ツール\test」を事前にコミットしておくこと。</t>
    <rPh sb="0" eb="2">
      <t>ジョウキ</t>
    </rPh>
    <rPh sb="6" eb="8">
      <t>ハッセイ</t>
    </rPh>
    <rPh sb="57" eb="59">
      <t>ジゼン</t>
    </rPh>
    <phoneticPr fontId="2"/>
  </si>
  <si>
    <t>コミット自動化機能</t>
    <rPh sb="3" eb="6">
      <t>ジドウカ</t>
    </rPh>
    <rPh sb="6" eb="8">
      <t>キノウ</t>
    </rPh>
    <phoneticPr fontId="2"/>
  </si>
  <si>
    <t>◇TODO</t>
    <phoneticPr fontId="2"/>
  </si>
  <si>
    <t>以下のチェック処理を行い、問題がなければログファイルと項目書を SVN に追加し、SVN のコミットダイアログを表示する。</t>
    <rPh sb="0" eb="2">
      <t>イカ</t>
    </rPh>
    <rPh sb="7" eb="9">
      <t>ショリ</t>
    </rPh>
    <rPh sb="10" eb="11">
      <t>オコナ</t>
    </rPh>
    <rPh sb="13" eb="15">
      <t>モンダイ</t>
    </rPh>
    <rPh sb="27" eb="29">
      <t>コウモク</t>
    </rPh>
    <rPh sb="29" eb="30">
      <t>ショ</t>
    </rPh>
    <rPh sb="37" eb="39">
      <t>ツイカ</t>
    </rPh>
    <rPh sb="56" eb="58">
      <t>ヒョウジ</t>
    </rPh>
    <phoneticPr fontId="2"/>
  </si>
  <si>
    <t>また(B)と（C)は、以下のフォルダ構造どおりに格納されている前提でチェックするため、</t>
    <rPh sb="11" eb="13">
      <t>イカ</t>
    </rPh>
    <rPh sb="18" eb="20">
      <t>コウゾウ</t>
    </rPh>
    <rPh sb="24" eb="26">
      <t>カクノウ</t>
    </rPh>
    <rPh sb="31" eb="33">
      <t>ゼンテイ</t>
    </rPh>
    <phoneticPr fontId="2"/>
  </si>
  <si>
    <t>フォルダ構成がルールどおりであることの確認も行える。</t>
    <rPh sb="4" eb="6">
      <t>コウセイ</t>
    </rPh>
    <rPh sb="19" eb="21">
      <t>カクニン</t>
    </rPh>
    <rPh sb="22" eb="23">
      <t>オコナ</t>
    </rPh>
    <phoneticPr fontId="2"/>
  </si>
  <si>
    <t>└ TestCoverLog</t>
    <phoneticPr fontId="2"/>
  </si>
  <si>
    <t>└ 02_診断モニタ変更</t>
  </si>
  <si>
    <t>└ TF2次プロト2nd単体試験項目書_02_診断モニタ変更_dgMonCanLocalComErr</t>
  </si>
  <si>
    <t>└ dgMonCanLocalComErr</t>
  </si>
  <si>
    <t>└ dgMonCanLocalComErrBcu170Main</t>
  </si>
  <si>
    <t>├ dgMonCanLocalComErrBcu170Main_1.csv</t>
  </si>
  <si>
    <t>└ dgMonCanLocalComErr.c</t>
  </si>
  <si>
    <t>└ dgMonCanLocalComErrBcu170Main.txt</t>
  </si>
  <si>
    <t>└ 04_起動終了シーケンス変更</t>
  </si>
  <si>
    <t>└ TF2次プロト2nd結合項目書_04_起動終了シーケンス変更</t>
  </si>
  <si>
    <t>└ 試験項目</t>
  </si>
  <si>
    <t>└ TF22_CT_04_002.png</t>
  </si>
  <si>
    <t>└ 01_診断マネージャ</t>
  </si>
  <si>
    <t>└ TF2次プロト2nd機能試験項目書_01_診断マネージャ(MNG)-17022</t>
  </si>
  <si>
    <t>└ 試験項目(11-1_4-3)</t>
  </si>
  <si>
    <t>└ TF22-01-11-1_4-3-001_after.png</t>
  </si>
  <si>
    <t>└ TF2次プロト2ndシステム試験項目書-17650</t>
  </si>
  <si>
    <t>└ 試験項目（起動シーケンス）</t>
  </si>
  <si>
    <t>└ TF22_ST_02_PON_001_オシロ_3v.png</t>
  </si>
  <si>
    <t>・試験項目書のフォルダ構成が統一されておらず、重複したログファイルが存在した。</t>
    <rPh sb="3" eb="5">
      <t>コウモク</t>
    </rPh>
    <rPh sb="5" eb="6">
      <t>ショ</t>
    </rPh>
    <rPh sb="11" eb="13">
      <t>コウセイ</t>
    </rPh>
    <rPh sb="14" eb="16">
      <t>トウイツ</t>
    </rPh>
    <rPh sb="23" eb="25">
      <t>チョウフク</t>
    </rPh>
    <rPh sb="34" eb="36">
      <t>ソンザイ</t>
    </rPh>
    <phoneticPr fontId="2"/>
  </si>
  <si>
    <t>試験ログファイルに関して以下のような問題があり、リリース前の試験ログチェックに時間を要した。</t>
    <rPh sb="0" eb="2">
      <t>シケン</t>
    </rPh>
    <rPh sb="9" eb="10">
      <t>カン</t>
    </rPh>
    <rPh sb="12" eb="14">
      <t>イカ</t>
    </rPh>
    <rPh sb="18" eb="20">
      <t>モンダイ</t>
    </rPh>
    <rPh sb="28" eb="29">
      <t>マエ</t>
    </rPh>
    <rPh sb="30" eb="32">
      <t>シケン</t>
    </rPh>
    <rPh sb="39" eb="41">
      <t>ジカン</t>
    </rPh>
    <rPh sb="42" eb="43">
      <t>ヨウ</t>
    </rPh>
    <phoneticPr fontId="2"/>
  </si>
  <si>
    <r>
      <t>そのため、</t>
    </r>
    <r>
      <rPr>
        <u/>
        <sz val="11"/>
        <color theme="1"/>
        <rFont val="ＭＳ Ｐゴシック"/>
        <family val="3"/>
        <charset val="128"/>
        <scheme val="minor"/>
      </rPr>
      <t>試験実施後の試験ログファイルコミット時点</t>
    </r>
    <r>
      <rPr>
        <sz val="11"/>
        <color theme="1"/>
        <rFont val="ＭＳ Ｐゴシック"/>
        <family val="2"/>
        <scheme val="minor"/>
      </rPr>
      <t>でログファイル名とフォルダ構成をチェックすることで</t>
    </r>
    <rPh sb="5" eb="7">
      <t>シケン</t>
    </rPh>
    <rPh sb="7" eb="10">
      <t>ジッシゴ</t>
    </rPh>
    <rPh sb="11" eb="13">
      <t>シケン</t>
    </rPh>
    <rPh sb="23" eb="25">
      <t>ジテン</t>
    </rPh>
    <rPh sb="32" eb="33">
      <t>メイ</t>
    </rPh>
    <rPh sb="38" eb="40">
      <t>コウセイ</t>
    </rPh>
    <phoneticPr fontId="2"/>
  </si>
  <si>
    <t>・試験項目書に記載のログファイルが存在しない。</t>
    <rPh sb="1" eb="3">
      <t>シケン</t>
    </rPh>
    <rPh sb="17" eb="19">
      <t>ソンザイ</t>
    </rPh>
    <phoneticPr fontId="2"/>
  </si>
  <si>
    <t>・試験項目書に未記載のログファイルが存在する。</t>
    <rPh sb="3" eb="5">
      <t>コウモク</t>
    </rPh>
    <rPh sb="5" eb="6">
      <t>ショ</t>
    </rPh>
    <rPh sb="7" eb="8">
      <t>ミ</t>
    </rPh>
    <rPh sb="8" eb="10">
      <t>キサイ</t>
    </rPh>
    <rPh sb="18" eb="20">
      <t>ソンザイ</t>
    </rPh>
    <phoneticPr fontId="2"/>
  </si>
  <si>
    <t>上記問題に対応する。また、チェックからコミットまでを自動化し、効率化を図る。</t>
    <rPh sb="0" eb="2">
      <t>ジョウキ</t>
    </rPh>
    <rPh sb="2" eb="4">
      <t>モンダイ</t>
    </rPh>
    <rPh sb="5" eb="7">
      <t>タイオウ</t>
    </rPh>
    <rPh sb="26" eb="28">
      <t>ジドウ</t>
    </rPh>
    <rPh sb="28" eb="29">
      <t>カ</t>
    </rPh>
    <rPh sb="31" eb="34">
      <t>コウリツカ</t>
    </rPh>
    <rPh sb="35" eb="36">
      <t>ハカ</t>
    </rPh>
    <phoneticPr fontId="2"/>
  </si>
  <si>
    <t>・試験ログファイルが適切なフォルダに格納されていることを確認する。</t>
    <rPh sb="1" eb="3">
      <t>シケン</t>
    </rPh>
    <rPh sb="10" eb="12">
      <t>テキセツ</t>
    </rPh>
    <rPh sb="18" eb="20">
      <t>カクノウ</t>
    </rPh>
    <rPh sb="28" eb="30">
      <t>カクニン</t>
    </rPh>
    <phoneticPr fontId="2"/>
  </si>
  <si>
    <t>【フォルダ構成】</t>
    <phoneticPr fontId="2"/>
  </si>
  <si>
    <t>（フォルダ構成は「チェック内容詳細」シートの【フォルダ構成】参照）</t>
    <rPh sb="5" eb="7">
      <t>コウセイ</t>
    </rPh>
    <rPh sb="13" eb="15">
      <t>ナイヨウ</t>
    </rPh>
    <rPh sb="15" eb="17">
      <t>ショウサイ</t>
    </rPh>
    <rPh sb="30" eb="32">
      <t>サンショウ</t>
    </rPh>
    <phoneticPr fontId="2"/>
  </si>
  <si>
    <t>(A) ログファイル名チェック</t>
    <phoneticPr fontId="2"/>
  </si>
  <si>
    <t>以下のように案件名＝案件IDとならないものは、ツールでは判別しきれないため。</t>
    <rPh sb="0" eb="2">
      <t>イカ</t>
    </rPh>
    <rPh sb="6" eb="8">
      <t>アンケン</t>
    </rPh>
    <rPh sb="8" eb="9">
      <t>メイ</t>
    </rPh>
    <rPh sb="10" eb="12">
      <t>アンケン</t>
    </rPh>
    <rPh sb="28" eb="30">
      <t>ハンベツ</t>
    </rPh>
    <phoneticPr fontId="2"/>
  </si>
  <si>
    <t>項目書の項番欄にEXCELの数式で組み込めば項番の記入が自動化でき、</t>
    <rPh sb="0" eb="2">
      <t>コウモク</t>
    </rPh>
    <rPh sb="2" eb="3">
      <t>ショ</t>
    </rPh>
    <rPh sb="4" eb="5">
      <t>コウ</t>
    </rPh>
    <rPh sb="5" eb="6">
      <t>バン</t>
    </rPh>
    <rPh sb="6" eb="7">
      <t>ラン</t>
    </rPh>
    <rPh sb="14" eb="16">
      <t>スウシキ</t>
    </rPh>
    <rPh sb="17" eb="18">
      <t>ク</t>
    </rPh>
    <rPh sb="19" eb="20">
      <t>コ</t>
    </rPh>
    <rPh sb="22" eb="23">
      <t>コウ</t>
    </rPh>
    <rPh sb="23" eb="24">
      <t>バン</t>
    </rPh>
    <rPh sb="25" eb="27">
      <t>キニュウ</t>
    </rPh>
    <rPh sb="28" eb="31">
      <t>ジドウカ</t>
    </rPh>
    <phoneticPr fontId="2"/>
  </si>
  <si>
    <t>◇コミット自動化機能</t>
    <rPh sb="5" eb="7">
      <t>ジドウ</t>
    </rPh>
    <rPh sb="7" eb="8">
      <t>カ</t>
    </rPh>
    <rPh sb="8" eb="10">
      <t>キノウ</t>
    </rPh>
    <phoneticPr fontId="2"/>
  </si>
  <si>
    <t>■データ入力</t>
    <phoneticPr fontId="2"/>
  </si>
  <si>
    <t>「データ入力」シートに各情報を記載。</t>
    <rPh sb="11" eb="14">
      <t>カクジョウホウ</t>
    </rPh>
    <rPh sb="15" eb="17">
      <t>キサイ</t>
    </rPh>
    <phoneticPr fontId="2"/>
  </si>
  <si>
    <t>（ディレクトリ構造がルールどおりであることの確認も行う）</t>
    <rPh sb="6" eb="8">
      <t>コウゾウ</t>
    </rPh>
    <rPh sb="22" eb="24">
      <t>カクニン</t>
    </rPh>
    <rPh sb="25" eb="26">
      <t>オコナ</t>
    </rPh>
    <phoneticPr fontId="2"/>
  </si>
  <si>
    <t>試験項目書内の「試験データ欄」記載の試験ログファイルがログファイル格納先に存在することを確認する。</t>
    <rPh sb="15" eb="17">
      <t>キサイ</t>
    </rPh>
    <rPh sb="18" eb="20">
      <t>シケン</t>
    </rPh>
    <rPh sb="33" eb="35">
      <t>カクノウ</t>
    </rPh>
    <rPh sb="35" eb="36">
      <t>サキ</t>
    </rPh>
    <rPh sb="37" eb="39">
      <t>ソンザイ</t>
    </rPh>
    <rPh sb="44" eb="46">
      <t>カクニン</t>
    </rPh>
    <phoneticPr fontId="2"/>
  </si>
  <si>
    <r>
      <t>・結合・機能・システム試験項目書内の項番欄には</t>
    </r>
    <r>
      <rPr>
        <u/>
        <sz val="11"/>
        <color theme="1"/>
        <rFont val="ＭＳ Ｐゴシック"/>
        <family val="3"/>
        <charset val="128"/>
        <scheme val="minor"/>
      </rPr>
      <t>「番号」ではなく「ログファイル名と一致する項目番号名」</t>
    </r>
    <r>
      <rPr>
        <sz val="11"/>
        <color theme="1"/>
        <rFont val="ＭＳ Ｐゴシック"/>
        <family val="2"/>
        <scheme val="minor"/>
      </rPr>
      <t>が</t>
    </r>
    <rPh sb="11" eb="13">
      <t>シケン</t>
    </rPh>
    <rPh sb="13" eb="15">
      <t>コウモク</t>
    </rPh>
    <rPh sb="15" eb="16">
      <t>ショ</t>
    </rPh>
    <rPh sb="16" eb="17">
      <t>ナイ</t>
    </rPh>
    <rPh sb="18" eb="19">
      <t>コウ</t>
    </rPh>
    <rPh sb="19" eb="20">
      <t>バン</t>
    </rPh>
    <rPh sb="20" eb="21">
      <t>ラン</t>
    </rPh>
    <rPh sb="24" eb="26">
      <t>バンゴウ</t>
    </rPh>
    <rPh sb="38" eb="39">
      <t>メイ</t>
    </rPh>
    <rPh sb="40" eb="42">
      <t>イッチ</t>
    </rPh>
    <rPh sb="44" eb="46">
      <t>コウモク</t>
    </rPh>
    <rPh sb="46" eb="48">
      <t>バンゴウ</t>
    </rPh>
    <rPh sb="48" eb="49">
      <t>メイ</t>
    </rPh>
    <phoneticPr fontId="2"/>
  </si>
  <si>
    <t>★</t>
    <phoneticPr fontId="2"/>
  </si>
  <si>
    <t>本番フォルダでやってみる。</t>
    <rPh sb="0" eb="2">
      <t>ホンバン</t>
    </rPh>
    <phoneticPr fontId="2"/>
  </si>
  <si>
    <t>期待ファイルパスリスト（記載テストデータのみ）</t>
    <rPh sb="0" eb="2">
      <t>キタイ</t>
    </rPh>
    <phoneticPr fontId="2"/>
  </si>
  <si>
    <t>★</t>
    <phoneticPr fontId="2"/>
  </si>
  <si>
    <t>チェック処理内のテキストファイルはエラーじゃなくてOKとする！</t>
    <rPh sb="4" eb="6">
      <t>ショリ</t>
    </rPh>
    <rPh sb="6" eb="7">
      <t>ナイ</t>
    </rPh>
    <phoneticPr fontId="2"/>
  </si>
  <si>
    <t>その代わり、試験対象関数のファイルは一個はあるよね？を確認する！</t>
    <rPh sb="2" eb="3">
      <t>カ</t>
    </rPh>
    <rPh sb="6" eb="8">
      <t>シケン</t>
    </rPh>
    <rPh sb="8" eb="10">
      <t>タイショウ</t>
    </rPh>
    <rPh sb="10" eb="12">
      <t>カンスウ</t>
    </rPh>
    <rPh sb="18" eb="20">
      <t>イッコ</t>
    </rPh>
    <rPh sb="27" eb="29">
      <t>カクニン</t>
    </rPh>
    <phoneticPr fontId="2"/>
  </si>
  <si>
    <t>├ [関数名]_[項番].csv</t>
    <rPh sb="3" eb="5">
      <t>カンスウ</t>
    </rPh>
    <rPh sb="5" eb="6">
      <t>ナ</t>
    </rPh>
    <rPh sb="9" eb="10">
      <t>コウ</t>
    </rPh>
    <rPh sb="10" eb="11">
      <t>バン</t>
    </rPh>
    <phoneticPr fontId="2"/>
  </si>
  <si>
    <t>└ [関数名]</t>
    <rPh sb="3" eb="5">
      <t>カンスウ</t>
    </rPh>
    <rPh sb="5" eb="6">
      <t>メイ</t>
    </rPh>
    <phoneticPr fontId="2"/>
  </si>
  <si>
    <t>★</t>
    <phoneticPr fontId="2"/>
  </si>
  <si>
    <t>フォルダ構成見直し</t>
    <rPh sb="4" eb="6">
      <t>コウセイ</t>
    </rPh>
    <rPh sb="6" eb="8">
      <t>ミナオ</t>
    </rPh>
    <phoneticPr fontId="2"/>
  </si>
  <si>
    <t>→</t>
    <phoneticPr fontId="2"/>
  </si>
  <si>
    <r>
      <t xml:space="preserve">├ </t>
    </r>
    <r>
      <rPr>
        <sz val="11"/>
        <color rgb="FFFF0000"/>
        <rFont val="ＭＳ Ｐゴシック"/>
        <family val="3"/>
        <charset val="128"/>
        <scheme val="minor"/>
      </rPr>
      <t>[シート名]</t>
    </r>
    <r>
      <rPr>
        <sz val="11"/>
        <color theme="1"/>
        <rFont val="ＭＳ Ｐゴシック"/>
        <family val="2"/>
        <scheme val="minor"/>
      </rPr>
      <t>_[項番].csv</t>
    </r>
    <rPh sb="6" eb="7">
      <t>メイ</t>
    </rPh>
    <rPh sb="10" eb="11">
      <t>コウ</t>
    </rPh>
    <rPh sb="11" eb="12">
      <t>バン</t>
    </rPh>
    <phoneticPr fontId="2"/>
  </si>
  <si>
    <t>[関数名]フォルダ削除</t>
    <rPh sb="1" eb="3">
      <t>カンスウ</t>
    </rPh>
    <rPh sb="3" eb="4">
      <t>メイ</t>
    </rPh>
    <rPh sb="9" eb="11">
      <t>サクジョ</t>
    </rPh>
    <phoneticPr fontId="2"/>
  </si>
  <si>
    <t>[ソースファイル名（拡張子なし）] → [シート名] 名称変更</t>
    <rPh sb="24" eb="25">
      <t>メイ</t>
    </rPh>
    <rPh sb="27" eb="29">
      <t>メイショウ</t>
    </rPh>
    <rPh sb="29" eb="31">
      <t>ヘンコウ</t>
    </rPh>
    <phoneticPr fontId="2"/>
  </si>
  <si>
    <t>[関数名]_[項番].csv → [シート名]_[項番].csv 名称変更</t>
    <rPh sb="33" eb="35">
      <t>メイショウ</t>
    </rPh>
    <rPh sb="35" eb="37">
      <t>ヘンコウ</t>
    </rPh>
    <phoneticPr fontId="2"/>
  </si>
  <si>
    <r>
      <t>単体試験は</t>
    </r>
    <r>
      <rPr>
        <b/>
        <sz val="11"/>
        <color rgb="FFFF0000"/>
        <rFont val="ＭＳ Ｐゴシック"/>
        <family val="3"/>
        <charset val="128"/>
        <scheme val="minor"/>
      </rPr>
      <t>「シート単位でカバレッジマスターをかけること！」</t>
    </r>
    <r>
      <rPr>
        <sz val="11"/>
        <color theme="1"/>
        <rFont val="ＭＳ Ｐゴシック"/>
        <family val="2"/>
        <scheme val="minor"/>
      </rPr>
      <t>のルールを追加！</t>
    </r>
    <rPh sb="0" eb="2">
      <t>タンタイ</t>
    </rPh>
    <rPh sb="2" eb="4">
      <t>シケン</t>
    </rPh>
    <rPh sb="9" eb="11">
      <t>タンイ</t>
    </rPh>
    <rPh sb="34" eb="36">
      <t>ツイカ</t>
    </rPh>
    <phoneticPr fontId="2"/>
  </si>
  <si>
    <t>一回カバレッジ結果はシート名毎にフォルダを分けておく！</t>
    <rPh sb="0" eb="2">
      <t>イッカイ</t>
    </rPh>
    <rPh sb="7" eb="9">
      <t>ケッカ</t>
    </rPh>
    <rPh sb="13" eb="14">
      <t>メイ</t>
    </rPh>
    <rPh sb="14" eb="15">
      <t>ゴト</t>
    </rPh>
    <rPh sb="21" eb="22">
      <t>ワ</t>
    </rPh>
    <phoneticPr fontId="2"/>
  </si>
  <si>
    <t>フォルダリスト作成。</t>
    <rPh sb="7" eb="9">
      <t>サクセイ</t>
    </rPh>
    <phoneticPr fontId="2"/>
  </si>
  <si>
    <t>本ファイルから転用。</t>
    <rPh sb="0" eb="1">
      <t>ホン</t>
    </rPh>
    <rPh sb="7" eb="9">
      <t>テンヨウ</t>
    </rPh>
    <phoneticPr fontId="2"/>
  </si>
  <si>
    <t>「本フォルダ配下にあるCSV・TXT・HTM以外のファイルを全削除.vbs」を作成。</t>
    <rPh sb="1" eb="2">
      <t>ホン</t>
    </rPh>
    <rPh sb="6" eb="8">
      <t>ハイカ</t>
    </rPh>
    <rPh sb="22" eb="24">
      <t>イガイ</t>
    </rPh>
    <rPh sb="30" eb="31">
      <t>ゼン</t>
    </rPh>
    <rPh sb="31" eb="33">
      <t>サクジョ</t>
    </rPh>
    <rPh sb="39" eb="41">
      <t>サクセイ</t>
    </rPh>
    <phoneticPr fontId="2"/>
  </si>
  <si>
    <t>フォルダリスト内のファイルを削除。</t>
    <rPh sb="7" eb="8">
      <t>ナイ</t>
    </rPh>
    <rPh sb="14" eb="16">
      <t>サクジョ</t>
    </rPh>
    <phoneticPr fontId="2"/>
  </si>
  <si>
    <t>削除する処理</t>
    <rPh sb="0" eb="2">
      <t>サクジョ</t>
    </rPh>
    <rPh sb="4" eb="6">
      <t>ショリ</t>
    </rPh>
    <phoneticPr fontId="2"/>
  </si>
  <si>
    <t>→バッチにする？</t>
    <phoneticPr fontId="2"/>
  </si>
  <si>
    <t>→不要！試験対象関数のファイルがあることは、(A)＋(B)のチェックで満たされる！</t>
    <rPh sb="1" eb="3">
      <t>フヨウ</t>
    </rPh>
    <rPh sb="4" eb="6">
      <t>シケン</t>
    </rPh>
    <rPh sb="6" eb="8">
      <t>タイショウ</t>
    </rPh>
    <rPh sb="8" eb="10">
      <t>カンスウ</t>
    </rPh>
    <rPh sb="35" eb="36">
      <t>ミ</t>
    </rPh>
    <phoneticPr fontId="2"/>
  </si>
  <si>
    <t>単体試験のフォルダ構成を変更する機能</t>
    <rPh sb="0" eb="2">
      <t>タンタイ</t>
    </rPh>
    <rPh sb="2" eb="4">
      <t>シケン</t>
    </rPh>
    <rPh sb="9" eb="11">
      <t>コウセイ</t>
    </rPh>
    <rPh sb="12" eb="14">
      <t>ヘンコウ</t>
    </rPh>
    <rPh sb="16" eb="18">
      <t>キノウ</t>
    </rPh>
    <phoneticPr fontId="2"/>
  </si>
  <si>
    <t>③</t>
    <phoneticPr fontId="2"/>
  </si>
  <si>
    <t>④</t>
    <phoneticPr fontId="2"/>
  </si>
  <si>
    <t>結合/機能/システム試験のデータ欄を埋める機能。</t>
    <rPh sb="0" eb="2">
      <t>ケツゴウ</t>
    </rPh>
    <rPh sb="3" eb="5">
      <t>キノウ</t>
    </rPh>
    <rPh sb="10" eb="12">
      <t>シケン</t>
    </rPh>
    <rPh sb="16" eb="17">
      <t>ラン</t>
    </rPh>
    <rPh sb="18" eb="19">
      <t>ウ</t>
    </rPh>
    <rPh sb="21" eb="23">
      <t>キノウ</t>
    </rPh>
    <phoneticPr fontId="2"/>
  </si>
  <si>
    <t>→不要！試験実施をシート毎に行えば、フォルダ構成変更は不要となる。</t>
    <rPh sb="1" eb="3">
      <t>フヨウ</t>
    </rPh>
    <rPh sb="4" eb="6">
      <t>シケン</t>
    </rPh>
    <rPh sb="6" eb="8">
      <t>ジッシ</t>
    </rPh>
    <rPh sb="12" eb="13">
      <t>ゴト</t>
    </rPh>
    <rPh sb="14" eb="15">
      <t>オコナ</t>
    </rPh>
    <rPh sb="22" eb="24">
      <t>コウセイ</t>
    </rPh>
    <rPh sb="24" eb="26">
      <t>ヘンコウ</t>
    </rPh>
    <rPh sb="27" eb="29">
      <t>フヨウ</t>
    </rPh>
    <phoneticPr fontId="2"/>
  </si>
  <si>
    <t>「試験ファイル過不足チェックツール.xls」削除</t>
    <rPh sb="22" eb="24">
      <t>サクジョ</t>
    </rPh>
    <phoneticPr fontId="2"/>
  </si>
  <si>
    <t>削除の旨を記載する。</t>
    <rPh sb="0" eb="2">
      <t>サクジョ</t>
    </rPh>
    <rPh sb="3" eb="4">
      <t>ムネ</t>
    </rPh>
    <rPh sb="5" eb="7">
      <t>キサイ</t>
    </rPh>
    <phoneticPr fontId="2"/>
  </si>
  <si>
    <t>←時間的に厳しい！</t>
    <rPh sb="1" eb="4">
      <t>ジカンテキ</t>
    </rPh>
    <rPh sb="5" eb="6">
      <t>キビ</t>
    </rPh>
    <phoneticPr fontId="2"/>
  </si>
  <si>
    <t>入力データ</t>
    <rPh sb="0" eb="2">
      <t>ニュウリョク</t>
    </rPh>
    <phoneticPr fontId="2"/>
  </si>
  <si>
    <t>項目書ファイルパス</t>
    <rPh sb="0" eb="2">
      <t>コウモク</t>
    </rPh>
    <rPh sb="2" eb="3">
      <t>ショ</t>
    </rPh>
    <phoneticPr fontId="2"/>
  </si>
  <si>
    <t>ログフォルダパス</t>
    <phoneticPr fontId="2"/>
  </si>
  <si>
    <t>試験フェーズ</t>
    <rPh sb="0" eb="2">
      <t>シケン</t>
    </rPh>
    <phoneticPr fontId="2"/>
  </si>
  <si>
    <t>←単体試験の場合は無視する処理に使う。</t>
    <rPh sb="1" eb="3">
      <t>タンタイ</t>
    </rPh>
    <rPh sb="3" eb="5">
      <t>シケン</t>
    </rPh>
    <rPh sb="6" eb="8">
      <t>バアイ</t>
    </rPh>
    <rPh sb="9" eb="11">
      <t>ムシ</t>
    </rPh>
    <rPh sb="13" eb="15">
      <t>ショリ</t>
    </rPh>
    <rPh sb="16" eb="17">
      <t>ツカ</t>
    </rPh>
    <phoneticPr fontId="2"/>
  </si>
  <si>
    <t>↓</t>
    <phoneticPr fontId="2"/>
  </si>
  <si>
    <t>追加機能検討</t>
    <rPh sb="0" eb="2">
      <t>ツイカ</t>
    </rPh>
    <rPh sb="2" eb="4">
      <t>キノウ</t>
    </rPh>
    <rPh sb="4" eb="6">
      <t>ケントウ</t>
    </rPh>
    <phoneticPr fontId="2"/>
  </si>
  <si>
    <t>年月日</t>
    <rPh sb="0" eb="3">
      <t>ネンガッピ</t>
    </rPh>
    <phoneticPr fontId="3"/>
  </si>
  <si>
    <t>結果判定</t>
    <rPh sb="0" eb="2">
      <t>ケッカ</t>
    </rPh>
    <rPh sb="2" eb="4">
      <t>ハンテイ</t>
    </rPh>
    <phoneticPr fontId="3"/>
  </si>
  <si>
    <t>Rev</t>
  </si>
  <si>
    <t>評価者</t>
    <rPh sb="0" eb="2">
      <t>ヒョウカ</t>
    </rPh>
    <rPh sb="2" eb="3">
      <t>シャ</t>
    </rPh>
    <phoneticPr fontId="3"/>
  </si>
  <si>
    <t>埋め込み値</t>
    <rPh sb="0" eb="1">
      <t>ウ</t>
    </rPh>
    <rPh sb="2" eb="3">
      <t>コ</t>
    </rPh>
    <rPh sb="4" eb="5">
      <t>チ</t>
    </rPh>
    <phoneticPr fontId="2"/>
  </si>
  <si>
    <t>→OK固定</t>
    <rPh sb="3" eb="5">
      <t>コテイ</t>
    </rPh>
    <phoneticPr fontId="2"/>
  </si>
  <si>
    <t>Rev</t>
    <phoneticPr fontId="2"/>
  </si>
  <si>
    <t>単体試験の試験結果欄を埋める機能</t>
    <rPh sb="0" eb="2">
      <t>タンタイ</t>
    </rPh>
    <rPh sb="2" eb="4">
      <t>シケン</t>
    </rPh>
    <rPh sb="5" eb="7">
      <t>シケン</t>
    </rPh>
    <rPh sb="7" eb="9">
      <t>ケッカ</t>
    </rPh>
    <rPh sb="9" eb="10">
      <t>ラン</t>
    </rPh>
    <rPh sb="11" eb="12">
      <t>ウ</t>
    </rPh>
    <rPh sb="14" eb="16">
      <t>キノウ</t>
    </rPh>
    <phoneticPr fontId="2"/>
  </si>
  <si>
    <t>試験データは、「項番」「Module Name」「シート名」「File Name」の情報から埋める</t>
    <rPh sb="0" eb="2">
      <t>シケン</t>
    </rPh>
    <rPh sb="42" eb="44">
      <t>ジョウホウ</t>
    </rPh>
    <rPh sb="46" eb="47">
      <t>ウ</t>
    </rPh>
    <phoneticPr fontId="2"/>
  </si>
  <si>
    <t>→フォルダ構成が正しいこと前提！</t>
    <rPh sb="5" eb="7">
      <t>コウセイ</t>
    </rPh>
    <rPh sb="8" eb="9">
      <t>タダ</t>
    </rPh>
    <rPh sb="13" eb="15">
      <t>ゼンテイ</t>
    </rPh>
    <phoneticPr fontId="2"/>
  </si>
  <si>
    <t>「シートIdx_項目Idx（項番）」の配列。</t>
    <rPh sb="19" eb="21">
      <t>ハイレツ</t>
    </rPh>
    <phoneticPr fontId="2"/>
  </si>
  <si>
    <t>対象フォルダ配下のCSV ファイルを検索し、「試験実施済み項目リスト」を作成する。</t>
    <rPh sb="0" eb="2">
      <t>タイショウ</t>
    </rPh>
    <rPh sb="6" eb="8">
      <t>ハイカ</t>
    </rPh>
    <rPh sb="18" eb="20">
      <t>ケンサク</t>
    </rPh>
    <rPh sb="23" eb="25">
      <t>シケン</t>
    </rPh>
    <rPh sb="25" eb="27">
      <t>ジッシ</t>
    </rPh>
    <rPh sb="27" eb="28">
      <t>ズ</t>
    </rPh>
    <rPh sb="29" eb="31">
      <t>コウモク</t>
    </rPh>
    <rPh sb="36" eb="38">
      <t>サクセイ</t>
    </rPh>
    <phoneticPr fontId="2"/>
  </si>
  <si>
    <t>：</t>
    <phoneticPr fontId="2"/>
  </si>
  <si>
    <t>「試験実施済み項目リスト」</t>
    <phoneticPr fontId="2"/>
  </si>
  <si>
    <t>「試験実施済み項目リスト」書き込む行が導き出せるので、列を判別して書き込み！</t>
    <rPh sb="13" eb="14">
      <t>カ</t>
    </rPh>
    <rPh sb="15" eb="16">
      <t>コ</t>
    </rPh>
    <rPh sb="17" eb="18">
      <t>ギョウ</t>
    </rPh>
    <rPh sb="19" eb="20">
      <t>ミチビ</t>
    </rPh>
    <rPh sb="21" eb="22">
      <t>ダ</t>
    </rPh>
    <rPh sb="27" eb="28">
      <t>レツ</t>
    </rPh>
    <rPh sb="29" eb="31">
      <t>ハンベツ</t>
    </rPh>
    <rPh sb="33" eb="34">
      <t>カ</t>
    </rPh>
    <rPh sb="35" eb="36">
      <t>コ</t>
    </rPh>
    <phoneticPr fontId="2"/>
  </si>
  <si>
    <t>機能概要</t>
    <rPh sb="0" eb="2">
      <t>キノウ</t>
    </rPh>
    <rPh sb="2" eb="4">
      <t>ガイヨウ</t>
    </rPh>
    <phoneticPr fontId="2"/>
  </si>
  <si>
    <t>ただし、以下の変更と、不要なファイルは削除できるバッチの作成が必要</t>
    <rPh sb="4" eb="6">
      <t>イカ</t>
    </rPh>
    <rPh sb="7" eb="9">
      <t>ヘンコウ</t>
    </rPh>
    <rPh sb="11" eb="13">
      <t>フヨウ</t>
    </rPh>
    <rPh sb="19" eb="21">
      <t>サクジョ</t>
    </rPh>
    <rPh sb="28" eb="30">
      <t>サクセイ</t>
    </rPh>
    <rPh sb="31" eb="33">
      <t>ヒツヨウ</t>
    </rPh>
    <phoneticPr fontId="2"/>
  </si>
  <si>
    <t>項目書の項番から「\[項目書ファイル名（拡張子なし）]\[シート名]\[項番]」を作成して、ファイルリストをなめる。</t>
    <rPh sb="0" eb="2">
      <t>コウモク</t>
    </rPh>
    <rPh sb="2" eb="3">
      <t>ショ</t>
    </rPh>
    <rPh sb="4" eb="5">
      <t>コウ</t>
    </rPh>
    <rPh sb="5" eb="6">
      <t>バン</t>
    </rPh>
    <rPh sb="41" eb="43">
      <t>サクセイ</t>
    </rPh>
    <phoneticPr fontId="2"/>
  </si>
  <si>
    <t>ファイルリストの中で、上記パスを含むファイルがある場合は、テストデータ欄に追加する。</t>
    <rPh sb="8" eb="9">
      <t>ナカ</t>
    </rPh>
    <rPh sb="11" eb="13">
      <t>ジョウキ</t>
    </rPh>
    <rPh sb="16" eb="17">
      <t>フク</t>
    </rPh>
    <rPh sb="25" eb="27">
      <t>バアイ</t>
    </rPh>
    <rPh sb="35" eb="36">
      <t>ラン</t>
    </rPh>
    <rPh sb="37" eb="39">
      <t>ツイカ</t>
    </rPh>
    <phoneticPr fontId="2"/>
  </si>
  <si>
    <t>→項番が含まれないファイルがあった場合は、無視されてしまう！！</t>
    <rPh sb="1" eb="2">
      <t>コウ</t>
    </rPh>
    <rPh sb="2" eb="3">
      <t>バン</t>
    </rPh>
    <rPh sb="4" eb="5">
      <t>フク</t>
    </rPh>
    <rPh sb="17" eb="19">
      <t>バアイ</t>
    </rPh>
    <rPh sb="21" eb="23">
      <t>ムシ</t>
    </rPh>
    <phoneticPr fontId="2"/>
  </si>
  <si>
    <t>→CSV ファイルの有無だけでOKを記載することに注意！</t>
    <rPh sb="10" eb="12">
      <t>ウム</t>
    </rPh>
    <rPh sb="18" eb="20">
      <t>キサイ</t>
    </rPh>
    <rPh sb="25" eb="27">
      <t>チュウイ</t>
    </rPh>
    <phoneticPr fontId="2"/>
  </si>
  <si>
    <t>←結合・機能・システム試験の場合は無視する処理に使う。</t>
    <rPh sb="1" eb="3">
      <t>ケツゴウ</t>
    </rPh>
    <rPh sb="4" eb="6">
      <t>キノウ</t>
    </rPh>
    <rPh sb="11" eb="13">
      <t>シケン</t>
    </rPh>
    <rPh sb="14" eb="16">
      <t>バアイ</t>
    </rPh>
    <rPh sb="17" eb="19">
      <t>ムシ</t>
    </rPh>
    <rPh sb="21" eb="23">
      <t>ショリ</t>
    </rPh>
    <rPh sb="24" eb="25">
      <t>ツカ</t>
    </rPh>
    <phoneticPr fontId="2"/>
  </si>
  <si>
    <t>バックアップファイルを作成する。</t>
    <rPh sb="11" eb="13">
      <t>サクセイ</t>
    </rPh>
    <phoneticPr fontId="2"/>
  </si>
  <si>
    <t>→セル上書きしていいかの情報は、どこから持ってくるか。</t>
    <rPh sb="3" eb="5">
      <t>ウワガ</t>
    </rPh>
    <rPh sb="12" eb="14">
      <t>ジョウホウ</t>
    </rPh>
    <rPh sb="20" eb="21">
      <t>モ</t>
    </rPh>
    <phoneticPr fontId="2"/>
  </si>
  <si>
    <t>追加、変更、バージョン管理外</t>
    <rPh sb="0" eb="2">
      <t>ツイカ</t>
    </rPh>
    <rPh sb="3" eb="5">
      <t>ヘンコウ</t>
    </rPh>
    <rPh sb="11" eb="13">
      <t>カンリ</t>
    </rPh>
    <rPh sb="13" eb="14">
      <t>ガイ</t>
    </rPh>
    <phoneticPr fontId="2"/>
  </si>
  <si>
    <t>セル上書き</t>
    <rPh sb="2" eb="4">
      <t>ウワガ</t>
    </rPh>
    <phoneticPr fontId="2"/>
  </si>
  <si>
    <t>変更なし</t>
    <rPh sb="0" eb="2">
      <t>ヘンコウ</t>
    </rPh>
    <phoneticPr fontId="2"/>
  </si>
  <si>
    <t>セル上書かない</t>
    <rPh sb="2" eb="4">
      <t>ウワガ</t>
    </rPh>
    <phoneticPr fontId="2"/>
  </si>
  <si>
    <t>結果はResultシートに出す。</t>
    <rPh sb="0" eb="2">
      <t>ケッカ</t>
    </rPh>
    <rPh sb="13" eb="14">
      <t>ダ</t>
    </rPh>
    <phoneticPr fontId="2"/>
  </si>
  <si>
    <t>シート名</t>
    <rPh sb="3" eb="4">
      <t>メイ</t>
    </rPh>
    <phoneticPr fontId="2"/>
  </si>
  <si>
    <t>項番</t>
    <rPh sb="0" eb="1">
      <t>コウ</t>
    </rPh>
    <rPh sb="1" eb="2">
      <t>バン</t>
    </rPh>
    <phoneticPr fontId="2"/>
  </si>
  <si>
    <t>結果</t>
    <rPh sb="0" eb="2">
      <t>ケッカ</t>
    </rPh>
    <phoneticPr fontId="2"/>
  </si>
  <si>
    <t>上書き</t>
    <rPh sb="0" eb="2">
      <t>ウワガ</t>
    </rPh>
    <phoneticPr fontId="2"/>
  </si>
  <si>
    <t>追記</t>
    <rPh sb="0" eb="2">
      <t>ツイキ</t>
    </rPh>
    <phoneticPr fontId="2"/>
  </si>
  <si>
    <t>試験データ欄</t>
    <rPh sb="0" eb="2">
      <t>シケン</t>
    </rPh>
    <rPh sb="5" eb="6">
      <t>ラン</t>
    </rPh>
    <phoneticPr fontId="2"/>
  </si>
  <si>
    <t>変更前</t>
    <rPh sb="0" eb="2">
      <t>ヘンコウ</t>
    </rPh>
    <rPh sb="2" eb="3">
      <t>マエ</t>
    </rPh>
    <phoneticPr fontId="2"/>
  </si>
  <si>
    <t>変更後</t>
    <rPh sb="0" eb="2">
      <t>ヘンコウ</t>
    </rPh>
    <rPh sb="2" eb="3">
      <t>ゴ</t>
    </rPh>
    <phoneticPr fontId="2"/>
  </si>
  <si>
    <t>→</t>
    <phoneticPr fontId="2"/>
  </si>
  <si>
    <t>ファイルの「SVN 変更状態」を見る。変更なし以外のファイルが一つでもあれば、上書きする。</t>
    <rPh sb="10" eb="12">
      <t>ヘンコウ</t>
    </rPh>
    <rPh sb="12" eb="14">
      <t>ジョウタイ</t>
    </rPh>
    <rPh sb="16" eb="17">
      <t>ミ</t>
    </rPh>
    <rPh sb="19" eb="21">
      <t>ヘンコウ</t>
    </rPh>
    <rPh sb="23" eb="25">
      <t>イガイ</t>
    </rPh>
    <rPh sb="31" eb="32">
      <t>ヒト</t>
    </rPh>
    <rPh sb="39" eb="41">
      <t>ウワガ</t>
    </rPh>
    <phoneticPr fontId="2"/>
  </si>
  <si>
    <t>試験データ</t>
    <rPh sb="0" eb="2">
      <t>シケン</t>
    </rPh>
    <phoneticPr fontId="2"/>
  </si>
  <si>
    <t>★</t>
    <phoneticPr fontId="2"/>
  </si>
  <si>
    <t>「★本ツールを実行する前に★」シートを追加！</t>
    <rPh sb="2" eb="3">
      <t>ホン</t>
    </rPh>
    <rPh sb="7" eb="9">
      <t>ジッコウ</t>
    </rPh>
    <rPh sb="11" eb="12">
      <t>マエ</t>
    </rPh>
    <rPh sb="19" eb="21">
      <t>ツイカ</t>
    </rPh>
    <phoneticPr fontId="2"/>
  </si>
  <si>
    <t>項目書名</t>
    <rPh sb="0" eb="2">
      <t>コウモク</t>
    </rPh>
    <rPh sb="2" eb="3">
      <t>ショ</t>
    </rPh>
    <rPh sb="3" eb="4">
      <t>メイ</t>
    </rPh>
    <phoneticPr fontId="2"/>
  </si>
  <si>
    <t>ログフォルダパス</t>
    <phoneticPr fontId="2"/>
  </si>
  <si>
    <t>★</t>
    <phoneticPr fontId="2"/>
  </si>
  <si>
    <t>GetTCDocInfoShtをきれいにする。</t>
    <phoneticPr fontId="2"/>
  </si>
  <si>
    <t>試験Rev</t>
    <rPh sb="0" eb="2">
      <t>シケン</t>
    </rPh>
    <phoneticPr fontId="3"/>
  </si>
  <si>
    <t>HEX/ABS</t>
  </si>
  <si>
    <t>A2L</t>
  </si>
  <si>
    <t>→結果欄を見るように！</t>
    <rPh sb="1" eb="3">
      <t>ケッカ</t>
    </rPh>
    <rPh sb="3" eb="4">
      <t>ラン</t>
    </rPh>
    <rPh sb="5" eb="6">
      <t>ミ</t>
    </rPh>
    <phoneticPr fontId="2"/>
  </si>
  <si>
    <t>記載されていることを確認する。</t>
  </si>
  <si>
    <t>ex)</t>
  </si>
  <si>
    <t>×：10</t>
  </si>
  <si>
    <t>○：TF22-ST-03_POF-010</t>
  </si>
  <si>
    <t>×：11-1_4-3</t>
  </si>
  <si>
    <t>○：試験項目(11-1_4-3)</t>
  </si>
  <si>
    <t>■本ツールを実行する前に</t>
    <rPh sb="1" eb="2">
      <t>ホン</t>
    </rPh>
    <rPh sb="6" eb="8">
      <t>ジッコウ</t>
    </rPh>
    <rPh sb="10" eb="11">
      <t>マエ</t>
    </rPh>
    <phoneticPr fontId="2"/>
  </si>
  <si>
    <t>本ツールを実行する前に、必ず以下を確認すること！</t>
    <rPh sb="0" eb="1">
      <t>ホン</t>
    </rPh>
    <rPh sb="5" eb="7">
      <t>ジッコウ</t>
    </rPh>
    <rPh sb="9" eb="10">
      <t>マエ</t>
    </rPh>
    <rPh sb="12" eb="13">
      <t>カナラ</t>
    </rPh>
    <rPh sb="14" eb="16">
      <t>イカ</t>
    </rPh>
    <rPh sb="17" eb="19">
      <t>カクニン</t>
    </rPh>
    <phoneticPr fontId="2"/>
  </si>
  <si>
    <t>「★本ツールを実行する前に★」シートの注意事項を確認。</t>
    <rPh sb="19" eb="21">
      <t>チュウイ</t>
    </rPh>
    <rPh sb="21" eb="23">
      <t>ジコウ</t>
    </rPh>
    <rPh sb="24" eb="26">
      <t>カクニン</t>
    </rPh>
    <phoneticPr fontId="2"/>
  </si>
  <si>
    <t>→</t>
  </si>
  <si>
    <t>試験ログフォルダパス</t>
    <phoneticPr fontId="2"/>
  </si>
  <si>
    <t>遠藤</t>
    <rPh sb="0" eb="2">
      <t>エンドウ</t>
    </rPh>
    <phoneticPr fontId="3"/>
  </si>
  <si>
    <t>OK</t>
  </si>
  <si>
    <t>dgMonCanLocalComErrMcu110Main.txt
dgMonCanLocalComErrMcu110Main_1.csv
テスト結果報告書.htm</t>
    <phoneticPr fontId="2"/>
  </si>
  <si>
    <t>OK</t>
    <phoneticPr fontId="2"/>
  </si>
  <si>
    <t>dgMonCanLocalComErrMcu110Main</t>
    <phoneticPr fontId="2"/>
  </si>
  <si>
    <t>□実施結果欄 書き込み結果</t>
    <rPh sb="1" eb="3">
      <t>ジッシ</t>
    </rPh>
    <rPh sb="3" eb="5">
      <t>ケッカ</t>
    </rPh>
    <rPh sb="5" eb="6">
      <t>ラン</t>
    </rPh>
    <rPh sb="7" eb="8">
      <t>カ</t>
    </rPh>
    <rPh sb="9" eb="10">
      <t>コ</t>
    </rPh>
    <rPh sb="11" eb="13">
      <t>ケッカ</t>
    </rPh>
    <phoneticPr fontId="2"/>
  </si>
  <si>
    <t>判定</t>
    <rPh sb="0" eb="2">
      <t>ハンテイ</t>
    </rPh>
    <phoneticPr fontId="3"/>
  </si>
  <si>
    <t>試験データ</t>
    <rPh sb="0" eb="2">
      <t>シケン</t>
    </rPh>
    <phoneticPr fontId="3"/>
  </si>
  <si>
    <t>杉村</t>
    <rPh sb="0" eb="2">
      <t>スギムラ</t>
    </rPh>
    <phoneticPr fontId="3"/>
  </si>
  <si>
    <t>TF22_CT_04_001.txt</t>
  </si>
  <si>
    <t>-</t>
  </si>
  <si>
    <t>試験項目（あ） (2)</t>
    <phoneticPr fontId="2"/>
  </si>
  <si>
    <t>TF22_CT_04_001</t>
    <phoneticPr fontId="2"/>
  </si>
  <si>
    <t>実施結果欄の書き込み結果を表示。</t>
    <rPh sb="0" eb="2">
      <t>ジッシ</t>
    </rPh>
    <rPh sb="2" eb="4">
      <t>ケッカ</t>
    </rPh>
    <rPh sb="4" eb="5">
      <t>ラン</t>
    </rPh>
    <rPh sb="6" eb="7">
      <t>カ</t>
    </rPh>
    <rPh sb="8" eb="9">
      <t>コ</t>
    </rPh>
    <rPh sb="10" eb="12">
      <t>ケッカ</t>
    </rPh>
    <rPh sb="13" eb="15">
      <t>ヒョウジ</t>
    </rPh>
    <phoneticPr fontId="2"/>
  </si>
  <si>
    <t>◇試験結果欄書き込み</t>
    <rPh sb="1" eb="3">
      <t>シケン</t>
    </rPh>
    <rPh sb="3" eb="5">
      <t>ケッカ</t>
    </rPh>
    <rPh sb="5" eb="6">
      <t>ラン</t>
    </rPh>
    <rPh sb="6" eb="7">
      <t>カ</t>
    </rPh>
    <rPh sb="8" eb="9">
      <t>コ</t>
    </rPh>
    <phoneticPr fontId="2"/>
  </si>
  <si>
    <t>試験データ</t>
    <rPh sb="0" eb="2">
      <t>シケン</t>
    </rPh>
    <phoneticPr fontId="2"/>
  </si>
  <si>
    <t>試験 Rev（HEX/ABS）</t>
    <rPh sb="0" eb="2">
      <t>シケン</t>
    </rPh>
    <phoneticPr fontId="2"/>
  </si>
  <si>
    <t>試験 Rev（A2L）</t>
    <rPh sb="0" eb="2">
      <t>シケン</t>
    </rPh>
    <phoneticPr fontId="2"/>
  </si>
  <si>
    <t>試験 Rev（ソースコード）</t>
    <rPh sb="0" eb="2">
      <t>シケン</t>
    </rPh>
    <phoneticPr fontId="2"/>
  </si>
  <si>
    <t>-</t>
    <phoneticPr fontId="2"/>
  </si>
  <si>
    <t>OutpTestResultUT</t>
    <phoneticPr fontId="2"/>
  </si>
  <si>
    <t>OutpTestResultExceptUT</t>
    <phoneticPr fontId="2"/>
  </si>
  <si>
    <t>結合/機能/システム試験のデータ欄を埋める機能</t>
    <phoneticPr fontId="2"/>
  </si>
  <si>
    <t>バックアップファイルを作成する。</t>
    <phoneticPr fontId="2"/>
  </si>
  <si>
    <t>CreBackupFile</t>
    <phoneticPr fontId="2"/>
  </si>
  <si>
    <t>CreTestedTcList</t>
    <phoneticPr fontId="2"/>
  </si>
  <si>
    <t>OutpWriRslt</t>
    <phoneticPr fontId="2"/>
  </si>
  <si>
    <t>-</t>
    <phoneticPr fontId="2"/>
  </si>
  <si>
    <t>★</t>
    <phoneticPr fontId="2"/>
  </si>
  <si>
    <t>試験項目書のフォーマットを整える！</t>
    <rPh sb="0" eb="2">
      <t>シケン</t>
    </rPh>
    <rPh sb="2" eb="4">
      <t>コウモク</t>
    </rPh>
    <rPh sb="4" eb="5">
      <t>ショ</t>
    </rPh>
    <rPh sb="13" eb="14">
      <t>トトノ</t>
    </rPh>
    <phoneticPr fontId="2"/>
  </si>
  <si>
    <t>Mng_Info_TCDoc_4ExceptUT</t>
    <phoneticPr fontId="2"/>
  </si>
  <si>
    <t>Mng_Info_TCDoc_4UT</t>
    <phoneticPr fontId="2"/>
  </si>
  <si>
    <t>GetSvnModStatList</t>
    <phoneticPr fontId="2"/>
  </si>
  <si>
    <t>ファイルの SVN 変更状況リストを作成する。</t>
    <rPh sb="10" eb="12">
      <t>ヘンコウ</t>
    </rPh>
    <rPh sb="12" eb="14">
      <t>ジョウキョウ</t>
    </rPh>
    <rPh sb="18" eb="20">
      <t>サクセイ</t>
    </rPh>
    <phoneticPr fontId="2"/>
  </si>
  <si>
    <t>「試験実施済み項目リスト」書き込む行が導き出せるので、列を判別して書き込み！
結果はResultシートに出す。</t>
    <phoneticPr fontId="2"/>
  </si>
  <si>
    <t>ファイルリストの中で、上記パスを含むファイルがある場合は、テストデータ欄に追加する。
結果はResultシートに出す。</t>
    <rPh sb="8" eb="9">
      <t>ナカ</t>
    </rPh>
    <rPh sb="11" eb="13">
      <t>ジョウキ</t>
    </rPh>
    <rPh sb="16" eb="17">
      <t>フク</t>
    </rPh>
    <rPh sb="25" eb="27">
      <t>バアイ</t>
    </rPh>
    <rPh sb="35" eb="36">
      <t>ラン</t>
    </rPh>
    <rPh sb="37" eb="39">
      <t>ツイカ</t>
    </rPh>
    <phoneticPr fontId="2"/>
  </si>
  <si>
    <t>項目書の項番から文字列「\[項目書ファイル名（拡張子なし）]\[シート名]\[項番]」を作成して、ファイルリストをなめる。
上記文字列と一致した場合、</t>
    <rPh sb="0" eb="2">
      <t>コウモク</t>
    </rPh>
    <rPh sb="2" eb="3">
      <t>ショ</t>
    </rPh>
    <rPh sb="4" eb="5">
      <t>コウ</t>
    </rPh>
    <rPh sb="5" eb="6">
      <t>バン</t>
    </rPh>
    <rPh sb="8" eb="11">
      <t>モジレツ</t>
    </rPh>
    <rPh sb="44" eb="46">
      <t>サクセイ</t>
    </rPh>
    <rPh sb="62" eb="64">
      <t>ジョウキ</t>
    </rPh>
    <rPh sb="64" eb="67">
      <t>モジレツ</t>
    </rPh>
    <rPh sb="68" eb="70">
      <t>イッチ</t>
    </rPh>
    <rPh sb="72" eb="74">
      <t>バアイ</t>
    </rPh>
    <phoneticPr fontId="2"/>
  </si>
  <si>
    <t>単体試験の試験結果欄を埋める機能</t>
    <phoneticPr fontId="2"/>
  </si>
  <si>
    <t>Mng_Svn</t>
    <phoneticPr fontId="2"/>
  </si>
  <si>
    <t>対象フォルダ配下の CSV ファイルを検索し、「試験実施済み項目リスト」を作成する。</t>
    <phoneticPr fontId="2"/>
  </si>
  <si>
    <t>→</t>
    <phoneticPr fontId="2"/>
  </si>
  <si>
    <t>遠藤ぅ</t>
    <rPh sb="0" eb="2">
      <t>エンドウ</t>
    </rPh>
    <phoneticPr fontId="2"/>
  </si>
  <si>
    <t>OKぇ</t>
    <phoneticPr fontId="2"/>
  </si>
  <si>
    <t>C:\Coffer\svn_PTM\trunk\03_管理\30_ツール\test\TF2次プロト2nd単体試験項目書_02_診断モニタ変更_dgMonCanLocalComErr-16686_○2.xls</t>
    <phoneticPr fontId="2"/>
  </si>
  <si>
    <t>C:\Coffer\svn_PTM\test\11_TF2次プロト2nd\31_単体試験ログ</t>
    <phoneticPr fontId="2"/>
  </si>
  <si>
    <t>★</t>
    <phoneticPr fontId="2"/>
  </si>
  <si>
    <t>エラー系は考慮しないと。</t>
    <rPh sb="3" eb="4">
      <t>ケイ</t>
    </rPh>
    <rPh sb="5" eb="7">
      <t>コウリョ</t>
    </rPh>
    <phoneticPr fontId="2"/>
  </si>
  <si>
    <t>OutpWriRslt 実装</t>
    <rPh sb="12" eb="14">
      <t>ジッソウ</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</si>
</sst>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Red]&quot;¥&quot;\-#,##0"/>
    <numFmt numFmtId="8" formatCode="&quot;¥&quot;#,##0.00;[Red]&quot;¥&quot;\-#,##0.00"/>
    <numFmt numFmtId="176" formatCode="0.0"/>
  </numFmts>
  <fonts count="62">
    <font>
      <sz val="11"/>
      <color theme="1"/>
      <name val="ＭＳ Ｐゴシック"/>
      <family val="2"/>
      <scheme val="minor"/>
    </font>
    <font>
      <sz val="11"/>
      <color theme="1"/>
      <name val="ＭＳ Ｐゴシック"/>
      <family val="2"/>
      <charset val="128"/>
      <scheme val="minor"/>
    </font>
    <font>
      <sz val="6"/>
      <name val="ＭＳ Ｐゴシック"/>
      <family val="3"/>
      <charset val="128"/>
      <scheme val="minor"/>
    </font>
    <font>
      <sz val="11"/>
      <color rgb="FFFF0000"/>
      <name val="ＭＳ Ｐゴシック"/>
      <family val="2"/>
      <scheme val="minor"/>
    </font>
    <font>
      <b/>
      <sz val="11"/>
      <color theme="1"/>
      <name val="ＭＳ Ｐゴシック"/>
      <family val="3"/>
      <charset val="128"/>
      <scheme val="minor"/>
    </font>
    <font>
      <u/>
      <sz val="11"/>
      <color theme="10"/>
      <name val="ＭＳ Ｐゴシック"/>
      <family val="2"/>
      <scheme val="minor"/>
    </font>
    <font>
      <sz val="11"/>
      <color theme="1"/>
      <name val="ＭＳ Ｐゴシック"/>
      <family val="3"/>
      <charset val="128"/>
      <scheme val="minor"/>
    </font>
    <font>
      <u/>
      <sz val="11"/>
      <color theme="1"/>
      <name val="ＭＳ Ｐゴシック"/>
      <family val="3"/>
      <charset val="128"/>
      <scheme val="minor"/>
    </font>
    <font>
      <b/>
      <sz val="11"/>
      <color rgb="FFC00000"/>
      <name val="ＭＳ Ｐゴシック"/>
      <family val="3"/>
      <charset val="128"/>
      <scheme val="minor"/>
    </font>
    <font>
      <b/>
      <sz val="11"/>
      <color rgb="FF0070C0"/>
      <name val="ＭＳ Ｐゴシック"/>
      <family val="3"/>
      <charset val="128"/>
      <scheme val="minor"/>
    </font>
    <font>
      <sz val="11"/>
      <color theme="1"/>
      <name val="ＭＳ ゴシック"/>
      <family val="3"/>
      <charset val="128"/>
    </font>
    <font>
      <b/>
      <sz val="11"/>
      <color theme="1"/>
      <name val="ＭＳ ゴシック"/>
      <family val="3"/>
      <charset val="128"/>
    </font>
    <font>
      <sz val="11"/>
      <color rgb="FFFF0000"/>
      <name val="ＭＳ Ｐゴシック"/>
      <family val="3"/>
      <charset val="128"/>
      <scheme val="minor"/>
    </font>
    <font>
      <sz val="11"/>
      <color theme="3" tint="0.39997558519241921"/>
      <name val="ＭＳ Ｐゴシック"/>
      <family val="2"/>
      <scheme val="minor"/>
    </font>
    <font>
      <sz val="11"/>
      <color theme="3" tint="0.39997558519241921"/>
      <name val="ＭＳ Ｐゴシック"/>
      <family val="3"/>
      <charset val="128"/>
      <scheme val="minor"/>
    </font>
    <font>
      <b/>
      <sz val="9"/>
      <color indexed="81"/>
      <name val="ＭＳ Ｐゴシック"/>
      <family val="3"/>
      <charset val="128"/>
    </font>
    <font>
      <sz val="11"/>
      <color rgb="FF000000"/>
      <name val="ＭＳ Ｐゴシック"/>
      <family val="3"/>
      <charset val="128"/>
    </font>
    <font>
      <b/>
      <sz val="12"/>
      <color theme="1"/>
      <name val="ＭＳ Ｐゴシック"/>
      <family val="3"/>
      <charset val="128"/>
      <scheme val="minor"/>
    </font>
    <font>
      <b/>
      <sz val="12"/>
      <color rgb="FF0070C0"/>
      <name val="ＭＳ Ｐゴシック"/>
      <family val="3"/>
      <charset val="128"/>
      <scheme val="minor"/>
    </font>
    <font>
      <i/>
      <sz val="11"/>
      <color theme="1"/>
      <name val="ＭＳ Ｐゴシック"/>
      <family val="3"/>
      <charset val="128"/>
      <scheme val="minor"/>
    </font>
    <font>
      <sz val="11"/>
      <name val="ＭＳ Ｐゴシック"/>
      <family val="2"/>
      <scheme val="minor"/>
    </font>
    <font>
      <sz val="11"/>
      <color indexed="8"/>
      <name val="ＭＳ Ｐゴシック"/>
      <family val="3"/>
      <charset val="128"/>
    </font>
    <font>
      <sz val="11"/>
      <name val="ＭＳ ゴシック"/>
      <family val="3"/>
      <charset val="128"/>
    </font>
    <font>
      <b/>
      <u/>
      <sz val="14"/>
      <name val="ＭＳ Ｐゴシック"/>
      <family val="3"/>
      <charset val="128"/>
      <scheme val="minor"/>
    </font>
    <font>
      <sz val="6"/>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u/>
      <sz val="11"/>
      <color indexed="12"/>
      <name val="ＭＳ Ｐゴシック"/>
      <family val="3"/>
      <charset val="128"/>
    </font>
    <font>
      <u/>
      <sz val="9.35"/>
      <color indexed="12"/>
      <name val="ＭＳ Ｐゴシック"/>
      <family val="3"/>
      <charset val="128"/>
    </font>
    <font>
      <sz val="11"/>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sz val="9"/>
      <color theme="1"/>
      <name val="ＭＳ Ｐゴシック"/>
      <family val="3"/>
      <charset val="128"/>
      <scheme val="minor"/>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name val="明朝"/>
      <family val="1"/>
      <charset val="128"/>
    </font>
    <font>
      <sz val="11"/>
      <color indexed="62"/>
      <name val="ＭＳ Ｐゴシック"/>
      <family val="3"/>
      <charset val="128"/>
    </font>
    <font>
      <sz val="10"/>
      <name val="ＭＳ ゴシック"/>
      <family val="3"/>
      <charset val="128"/>
    </font>
    <font>
      <sz val="9"/>
      <color indexed="8"/>
      <name val="ＭＳ Ｐゴシック"/>
      <family val="3"/>
      <charset val="128"/>
    </font>
    <font>
      <sz val="10"/>
      <name val="Arial"/>
      <family val="2"/>
    </font>
    <font>
      <sz val="11"/>
      <color indexed="17"/>
      <name val="ＭＳ Ｐゴシック"/>
      <family val="3"/>
      <charset val="128"/>
    </font>
    <font>
      <b/>
      <sz val="16"/>
      <color rgb="FFC00000"/>
      <name val="ＭＳ Ｐゴシック"/>
      <family val="3"/>
      <charset val="128"/>
      <scheme val="minor"/>
    </font>
    <font>
      <b/>
      <sz val="16"/>
      <color rgb="FF0070C0"/>
      <name val="ＭＳ Ｐゴシック"/>
      <family val="3"/>
      <charset val="128"/>
      <scheme val="minor"/>
    </font>
    <font>
      <sz val="16"/>
      <color rgb="FF0070C0"/>
      <name val="ＭＳ Ｐゴシック"/>
      <family val="3"/>
      <charset val="128"/>
      <scheme val="minor"/>
    </font>
    <font>
      <sz val="11"/>
      <color rgb="FFC00000"/>
      <name val="ＭＳ Ｐゴシック"/>
      <family val="3"/>
      <charset val="128"/>
      <scheme val="minor"/>
    </font>
    <font>
      <sz val="11"/>
      <color rgb="FF0070C0"/>
      <name val="ＭＳ Ｐゴシック"/>
      <family val="3"/>
      <charset val="128"/>
      <scheme val="minor"/>
    </font>
    <font>
      <sz val="11"/>
      <name val="ＭＳ Ｐゴシック"/>
      <family val="3"/>
      <charset val="128"/>
      <scheme val="minor"/>
    </font>
    <font>
      <b/>
      <sz val="11"/>
      <color rgb="FFFF0000"/>
      <name val="ＭＳ Ｐゴシック"/>
      <family val="3"/>
      <charset val="128"/>
      <scheme val="minor"/>
    </font>
    <font>
      <b/>
      <sz val="11"/>
      <color rgb="FF00B050"/>
      <name val="ＭＳ Ｐゴシック"/>
      <family val="3"/>
      <charset val="128"/>
      <scheme val="minor"/>
    </font>
    <font>
      <b/>
      <sz val="11"/>
      <color rgb="FF7030A0"/>
      <name val="ＭＳ Ｐゴシック"/>
      <family val="3"/>
      <charset val="128"/>
      <scheme val="minor"/>
    </font>
    <font>
      <sz val="11"/>
      <color rgb="FF00B0F0"/>
      <name val="ＭＳ Ｐゴシック"/>
      <family val="2"/>
      <scheme val="minor"/>
    </font>
    <font>
      <sz val="11"/>
      <color theme="0" tint="-0.14999847407452621"/>
      <name val="ＭＳ Ｐゴシック"/>
      <family val="2"/>
      <scheme val="minor"/>
    </font>
    <font>
      <sz val="11"/>
      <color theme="0" tint="-0.14999847407452621"/>
      <name val="ＭＳ Ｐゴシック"/>
      <family val="3"/>
      <charset val="128"/>
      <scheme val="minor"/>
    </font>
    <font>
      <b/>
      <sz val="11"/>
      <color theme="9" tint="-0.249977111117893"/>
      <name val="ＭＳ Ｐゴシック"/>
      <family val="3"/>
      <charset val="128"/>
      <scheme val="minor"/>
    </font>
  </fonts>
  <fills count="32">
    <fill>
      <patternFill patternType="none"/>
    </fill>
    <fill>
      <patternFill patternType="gray125"/>
    </fill>
    <fill>
      <patternFill patternType="solid">
        <fgColor rgb="FFCCFFCC"/>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gray125">
        <fgColor rgb="FF92D050"/>
      </patternFill>
    </fill>
    <fill>
      <patternFill patternType="solid">
        <fgColor rgb="FFCCFFCC"/>
        <bgColor auto="1"/>
      </patternFill>
    </fill>
    <fill>
      <patternFill patternType="solid">
        <fgColor indexed="65"/>
        <bgColor auto="1"/>
      </patternFill>
    </fill>
    <fill>
      <patternFill patternType="gray125">
        <fgColor rgb="FF7030A0"/>
        <bgColor auto="1"/>
      </patternFill>
    </fill>
    <fill>
      <patternFill patternType="gray125">
        <fgColor rgb="FFFFC000"/>
      </patternFill>
    </fill>
    <fill>
      <patternFill patternType="solid">
        <fgColor theme="9" tint="0.39997558519241921"/>
        <bgColor auto="1"/>
      </patternFill>
    </fill>
    <fill>
      <patternFill patternType="solid">
        <fgColor theme="0" tint="-0.499984740745262"/>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s>
  <cellStyleXfs count="235">
    <xf numFmtId="0" fontId="0" fillId="0" borderId="0"/>
    <xf numFmtId="0" fontId="5" fillId="0" borderId="0" applyNumberFormat="0" applyFill="0" applyBorder="0" applyAlignment="0" applyProtection="0"/>
    <xf numFmtId="0" fontId="21" fillId="0" borderId="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4" borderId="0" applyNumberFormat="0" applyBorder="0" applyAlignment="0" applyProtection="0">
      <alignment vertical="center"/>
    </xf>
    <xf numFmtId="0" fontId="21" fillId="4" borderId="0" applyNumberFormat="0" applyBorder="0" applyAlignment="0" applyProtection="0">
      <alignment vertical="center"/>
    </xf>
    <xf numFmtId="0" fontId="21" fillId="4" borderId="0" applyNumberFormat="0" applyBorder="0" applyAlignment="0" applyProtection="0">
      <alignment vertical="center"/>
    </xf>
    <xf numFmtId="0" fontId="21" fillId="4"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7" borderId="0" applyNumberFormat="0" applyBorder="0" applyAlignment="0" applyProtection="0">
      <alignment vertical="center"/>
    </xf>
    <xf numFmtId="0" fontId="21" fillId="7" borderId="0" applyNumberFormat="0" applyBorder="0" applyAlignment="0" applyProtection="0">
      <alignment vertical="center"/>
    </xf>
    <xf numFmtId="0" fontId="21" fillId="7" borderId="0" applyNumberFormat="0" applyBorder="0" applyAlignment="0" applyProtection="0">
      <alignment vertical="center"/>
    </xf>
    <xf numFmtId="0" fontId="21" fillId="7" borderId="0" applyNumberFormat="0" applyBorder="0" applyAlignment="0" applyProtection="0">
      <alignment vertical="center"/>
    </xf>
    <xf numFmtId="0" fontId="21" fillId="8" borderId="0" applyNumberFormat="0" applyBorder="0" applyAlignment="0" applyProtection="0">
      <alignment vertical="center"/>
    </xf>
    <xf numFmtId="0" fontId="21" fillId="8" borderId="0" applyNumberFormat="0" applyBorder="0" applyAlignment="0" applyProtection="0">
      <alignment vertical="center"/>
    </xf>
    <xf numFmtId="0" fontId="21" fillId="8" borderId="0" applyNumberFormat="0" applyBorder="0" applyAlignment="0" applyProtection="0">
      <alignment vertical="center"/>
    </xf>
    <xf numFmtId="0" fontId="21" fillId="8"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10" borderId="0" applyNumberFormat="0" applyBorder="0" applyAlignment="0" applyProtection="0">
      <alignment vertical="center"/>
    </xf>
    <xf numFmtId="0" fontId="21" fillId="10" borderId="0" applyNumberFormat="0" applyBorder="0" applyAlignment="0" applyProtection="0">
      <alignment vertical="center"/>
    </xf>
    <xf numFmtId="0" fontId="21" fillId="10" borderId="0" applyNumberFormat="0" applyBorder="0" applyAlignment="0" applyProtection="0">
      <alignment vertical="center"/>
    </xf>
    <xf numFmtId="0" fontId="21" fillId="10" borderId="0" applyNumberFormat="0" applyBorder="0" applyAlignment="0" applyProtection="0">
      <alignment vertical="center"/>
    </xf>
    <xf numFmtId="0" fontId="21" fillId="11" borderId="0" applyNumberFormat="0" applyBorder="0" applyAlignment="0" applyProtection="0">
      <alignment vertical="center"/>
    </xf>
    <xf numFmtId="0" fontId="21" fillId="11" borderId="0" applyNumberFormat="0" applyBorder="0" applyAlignment="0" applyProtection="0">
      <alignment vertical="center"/>
    </xf>
    <xf numFmtId="0" fontId="21" fillId="11" borderId="0" applyNumberFormat="0" applyBorder="0" applyAlignment="0" applyProtection="0">
      <alignment vertical="center"/>
    </xf>
    <xf numFmtId="0" fontId="21" fillId="11"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12" borderId="0" applyNumberFormat="0" applyBorder="0" applyAlignment="0" applyProtection="0">
      <alignment vertical="center"/>
    </xf>
    <xf numFmtId="0" fontId="21" fillId="12" borderId="0" applyNumberFormat="0" applyBorder="0" applyAlignment="0" applyProtection="0">
      <alignment vertical="center"/>
    </xf>
    <xf numFmtId="0" fontId="21" fillId="12" borderId="0" applyNumberFormat="0" applyBorder="0" applyAlignment="0" applyProtection="0">
      <alignment vertical="center"/>
    </xf>
    <xf numFmtId="0" fontId="21" fillId="1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6" borderId="0" applyNumberFormat="0" applyBorder="0" applyAlignment="0" applyProtection="0">
      <alignment vertical="center"/>
    </xf>
    <xf numFmtId="0" fontId="25" fillId="16" borderId="0" applyNumberFormat="0" applyBorder="0" applyAlignment="0" applyProtection="0">
      <alignment vertical="center"/>
    </xf>
    <xf numFmtId="0" fontId="25" fillId="16"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20" borderId="0" applyNumberFormat="0" applyBorder="0" applyAlignment="0" applyProtection="0">
      <alignment vertical="center"/>
    </xf>
    <xf numFmtId="0" fontId="25" fillId="20" borderId="0" applyNumberFormat="0" applyBorder="0" applyAlignment="0" applyProtection="0">
      <alignment vertical="center"/>
    </xf>
    <xf numFmtId="0" fontId="25" fillId="20" borderId="0" applyNumberFormat="0" applyBorder="0" applyAlignment="0" applyProtection="0">
      <alignment vertical="center"/>
    </xf>
    <xf numFmtId="0" fontId="26"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21" borderId="8" applyNumberFormat="0" applyAlignment="0" applyProtection="0">
      <alignment vertical="center"/>
    </xf>
    <xf numFmtId="0" fontId="27" fillId="21" borderId="8" applyNumberFormat="0" applyAlignment="0" applyProtection="0">
      <alignment vertical="center"/>
    </xf>
    <xf numFmtId="0" fontId="27" fillId="21" borderId="8" applyNumberFormat="0" applyAlignment="0" applyProtection="0">
      <alignment vertical="center"/>
    </xf>
    <xf numFmtId="0" fontId="28" fillId="22" borderId="0" applyNumberFormat="0" applyBorder="0" applyAlignment="0" applyProtection="0">
      <alignment vertical="center"/>
    </xf>
    <xf numFmtId="0" fontId="28" fillId="22" borderId="0" applyNumberFormat="0" applyBorder="0" applyAlignment="0" applyProtection="0">
      <alignment vertical="center"/>
    </xf>
    <xf numFmtId="0" fontId="28" fillId="22" borderId="0" applyNumberFormat="0" applyBorder="0" applyAlignment="0" applyProtection="0">
      <alignment vertical="center"/>
    </xf>
    <xf numFmtId="9" fontId="21" fillId="0" borderId="0" applyFont="0" applyFill="0" applyBorder="0" applyAlignment="0" applyProtection="0">
      <alignment vertical="center"/>
    </xf>
    <xf numFmtId="9" fontId="21" fillId="0" borderId="0" applyFont="0" applyFill="0" applyBorder="0" applyAlignment="0" applyProtection="0">
      <alignment vertical="center"/>
    </xf>
    <xf numFmtId="0" fontId="29"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23" borderId="9" applyNumberFormat="0" applyFont="0" applyAlignment="0" applyProtection="0">
      <alignment vertical="center"/>
    </xf>
    <xf numFmtId="0" fontId="31" fillId="23" borderId="9" applyNumberFormat="0" applyFont="0" applyAlignment="0" applyProtection="0">
      <alignment vertical="center"/>
    </xf>
    <xf numFmtId="0" fontId="31" fillId="23" borderId="9" applyNumberFormat="0" applyFont="0" applyAlignment="0" applyProtection="0">
      <alignment vertical="center"/>
    </xf>
    <xf numFmtId="0" fontId="32" fillId="0" borderId="10" applyNumberFormat="0" applyFill="0" applyAlignment="0" applyProtection="0">
      <alignment vertical="center"/>
    </xf>
    <xf numFmtId="0" fontId="32" fillId="0" borderId="10" applyNumberFormat="0" applyFill="0" applyAlignment="0" applyProtection="0">
      <alignment vertical="center"/>
    </xf>
    <xf numFmtId="0" fontId="32" fillId="0" borderId="10" applyNumberFormat="0" applyFill="0" applyAlignment="0" applyProtection="0">
      <alignment vertical="center"/>
    </xf>
    <xf numFmtId="0" fontId="33" fillId="4" borderId="0" applyNumberFormat="0" applyBorder="0" applyAlignment="0" applyProtection="0">
      <alignment vertical="center"/>
    </xf>
    <xf numFmtId="0" fontId="33" fillId="4" borderId="0" applyNumberFormat="0" applyBorder="0" applyAlignment="0" applyProtection="0">
      <alignment vertical="center"/>
    </xf>
    <xf numFmtId="0" fontId="33" fillId="4" borderId="0" applyNumberFormat="0" applyBorder="0" applyAlignment="0" applyProtection="0">
      <alignment vertical="center"/>
    </xf>
    <xf numFmtId="0" fontId="34" fillId="24" borderId="11" applyNumberFormat="0" applyAlignment="0" applyProtection="0">
      <alignment vertical="center"/>
    </xf>
    <xf numFmtId="0" fontId="34" fillId="24" borderId="11" applyNumberFormat="0" applyAlignment="0" applyProtection="0">
      <alignment vertical="center"/>
    </xf>
    <xf numFmtId="0" fontId="34" fillId="24" borderId="11"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38" fontId="31" fillId="0" borderId="0" applyFont="0" applyFill="0" applyBorder="0" applyAlignment="0" applyProtection="0">
      <alignment vertical="center"/>
    </xf>
    <xf numFmtId="38" fontId="31" fillId="0" borderId="0" applyFont="0" applyFill="0" applyBorder="0" applyAlignment="0" applyProtection="0"/>
    <xf numFmtId="38" fontId="31" fillId="0" borderId="0" applyFont="0" applyFill="0" applyBorder="0" applyAlignment="0" applyProtection="0">
      <alignment vertical="center"/>
    </xf>
    <xf numFmtId="38" fontId="31" fillId="0" borderId="0" applyFont="0" applyFill="0" applyBorder="0" applyAlignment="0" applyProtection="0"/>
    <xf numFmtId="38" fontId="31" fillId="0" borderId="0" applyFont="0" applyFill="0" applyBorder="0" applyAlignment="0" applyProtection="0">
      <alignment vertical="center"/>
    </xf>
    <xf numFmtId="38" fontId="36" fillId="0" borderId="0" applyFont="0" applyFill="0" applyBorder="0" applyAlignment="0" applyProtection="0">
      <alignment vertical="center"/>
    </xf>
    <xf numFmtId="38" fontId="36" fillId="0" borderId="0" applyFont="0" applyFill="0" applyBorder="0" applyAlignment="0" applyProtection="0">
      <alignment vertical="center"/>
    </xf>
    <xf numFmtId="0" fontId="37" fillId="0" borderId="12" applyNumberFormat="0" applyFill="0" applyAlignment="0" applyProtection="0">
      <alignment vertical="center"/>
    </xf>
    <xf numFmtId="0" fontId="37" fillId="0" borderId="12" applyNumberFormat="0" applyFill="0" applyAlignment="0" applyProtection="0">
      <alignment vertical="center"/>
    </xf>
    <xf numFmtId="0" fontId="37" fillId="0" borderId="12" applyNumberFormat="0" applyFill="0" applyAlignment="0" applyProtection="0">
      <alignment vertical="center"/>
    </xf>
    <xf numFmtId="0" fontId="38" fillId="0" borderId="13" applyNumberFormat="0" applyFill="0" applyAlignment="0" applyProtection="0">
      <alignment vertical="center"/>
    </xf>
    <xf numFmtId="0" fontId="38" fillId="0" borderId="13" applyNumberFormat="0" applyFill="0" applyAlignment="0" applyProtection="0">
      <alignment vertical="center"/>
    </xf>
    <xf numFmtId="0" fontId="38" fillId="0" borderId="13" applyNumberFormat="0" applyFill="0" applyAlignment="0" applyProtection="0">
      <alignment vertical="center"/>
    </xf>
    <xf numFmtId="0" fontId="39" fillId="0" borderId="14" applyNumberFormat="0" applyFill="0" applyAlignment="0" applyProtection="0">
      <alignment vertical="center"/>
    </xf>
    <xf numFmtId="0" fontId="39" fillId="0" borderId="14" applyNumberFormat="0" applyFill="0" applyAlignment="0" applyProtection="0">
      <alignment vertical="center"/>
    </xf>
    <xf numFmtId="0" fontId="39" fillId="0" borderId="14" applyNumberFormat="0" applyFill="0" applyAlignment="0" applyProtection="0">
      <alignment vertical="center"/>
    </xf>
    <xf numFmtId="0" fontId="39"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15" applyNumberFormat="0" applyFill="0" applyAlignment="0" applyProtection="0">
      <alignment vertical="center"/>
    </xf>
    <xf numFmtId="0" fontId="40" fillId="0" borderId="15" applyNumberFormat="0" applyFill="0" applyAlignment="0" applyProtection="0">
      <alignment vertical="center"/>
    </xf>
    <xf numFmtId="0" fontId="40" fillId="0" borderId="15" applyNumberFormat="0" applyFill="0" applyAlignment="0" applyProtection="0">
      <alignment vertical="center"/>
    </xf>
    <xf numFmtId="0" fontId="41" fillId="24" borderId="16" applyNumberFormat="0" applyAlignment="0" applyProtection="0">
      <alignment vertical="center"/>
    </xf>
    <xf numFmtId="0" fontId="41" fillId="24" borderId="16" applyNumberFormat="0" applyAlignment="0" applyProtection="0">
      <alignment vertical="center"/>
    </xf>
    <xf numFmtId="0" fontId="41" fillId="24" borderId="16" applyNumberFormat="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56" fontId="43" fillId="0" borderId="0">
      <alignment horizontal="center"/>
    </xf>
    <xf numFmtId="0" fontId="44" fillId="8" borderId="11" applyNumberFormat="0" applyAlignment="0" applyProtection="0">
      <alignment vertical="center"/>
    </xf>
    <xf numFmtId="0" fontId="44" fillId="8" borderId="11" applyNumberFormat="0" applyAlignment="0" applyProtection="0">
      <alignment vertical="center"/>
    </xf>
    <xf numFmtId="0" fontId="44" fillId="8" borderId="11" applyNumberFormat="0" applyAlignment="0" applyProtection="0">
      <alignment vertical="center"/>
    </xf>
    <xf numFmtId="0" fontId="31" fillId="0" borderId="0">
      <alignment vertical="center"/>
    </xf>
    <xf numFmtId="0" fontId="31" fillId="0" borderId="0">
      <alignment vertical="center"/>
    </xf>
    <xf numFmtId="0" fontId="31" fillId="0" borderId="0">
      <alignment vertical="center"/>
    </xf>
    <xf numFmtId="0" fontId="31" fillId="0" borderId="0"/>
    <xf numFmtId="0" fontId="6" fillId="0" borderId="0"/>
    <xf numFmtId="0" fontId="6" fillId="0" borderId="0">
      <alignment vertical="center"/>
    </xf>
    <xf numFmtId="0" fontId="31" fillId="0" borderId="0">
      <alignment vertical="center"/>
    </xf>
    <xf numFmtId="0" fontId="45" fillId="0" borderId="0"/>
    <xf numFmtId="0" fontId="31" fillId="0" borderId="0">
      <alignment vertical="center"/>
    </xf>
    <xf numFmtId="0" fontId="6" fillId="0" borderId="0">
      <alignment vertical="center"/>
    </xf>
    <xf numFmtId="0" fontId="31" fillId="0" borderId="0">
      <alignment vertical="center"/>
    </xf>
    <xf numFmtId="0" fontId="31" fillId="0" borderId="0"/>
    <xf numFmtId="0" fontId="21" fillId="0" borderId="0"/>
    <xf numFmtId="0" fontId="6" fillId="0" borderId="0">
      <alignment vertical="center"/>
    </xf>
    <xf numFmtId="0" fontId="6" fillId="0" borderId="0"/>
    <xf numFmtId="0" fontId="31" fillId="0" borderId="0">
      <alignment vertical="center"/>
    </xf>
    <xf numFmtId="0" fontId="46" fillId="0" borderId="0">
      <alignment vertical="center"/>
    </xf>
    <xf numFmtId="0" fontId="36" fillId="0" borderId="0">
      <alignment vertical="center"/>
    </xf>
    <xf numFmtId="0" fontId="31" fillId="0" borderId="0">
      <alignment vertical="center"/>
    </xf>
    <xf numFmtId="0" fontId="31" fillId="0" borderId="0"/>
    <xf numFmtId="0" fontId="36" fillId="0" borderId="0">
      <alignment vertical="center"/>
    </xf>
    <xf numFmtId="0" fontId="21" fillId="0" borderId="0"/>
    <xf numFmtId="0" fontId="31" fillId="0" borderId="0">
      <alignment vertical="center"/>
    </xf>
    <xf numFmtId="0" fontId="31" fillId="0" borderId="0">
      <alignment vertical="center"/>
    </xf>
    <xf numFmtId="0" fontId="45" fillId="0" borderId="0"/>
    <xf numFmtId="0" fontId="6" fillId="0" borderId="0">
      <alignment vertical="center"/>
    </xf>
    <xf numFmtId="0" fontId="6" fillId="0" borderId="0">
      <alignment vertical="center"/>
    </xf>
    <xf numFmtId="0" fontId="31" fillId="0" borderId="0"/>
    <xf numFmtId="0" fontId="31" fillId="0" borderId="0">
      <alignment vertical="center"/>
    </xf>
    <xf numFmtId="0" fontId="31" fillId="0" borderId="0"/>
    <xf numFmtId="0" fontId="31" fillId="0" borderId="0"/>
    <xf numFmtId="0" fontId="6" fillId="0" borderId="0"/>
    <xf numFmtId="0" fontId="6" fillId="0" borderId="0"/>
    <xf numFmtId="0" fontId="31" fillId="0" borderId="0"/>
    <xf numFmtId="0" fontId="6" fillId="0" borderId="0">
      <alignment vertical="center"/>
    </xf>
    <xf numFmtId="0" fontId="1" fillId="0" borderId="0">
      <alignment vertical="center"/>
    </xf>
    <xf numFmtId="0" fontId="1" fillId="0" borderId="0">
      <alignment vertical="center"/>
    </xf>
    <xf numFmtId="0" fontId="1" fillId="0" borderId="0">
      <alignment vertical="center"/>
    </xf>
    <xf numFmtId="0" fontId="47" fillId="0" borderId="0"/>
    <xf numFmtId="0" fontId="21" fillId="0" borderId="0">
      <alignment vertical="center"/>
    </xf>
    <xf numFmtId="0" fontId="31" fillId="0" borderId="0">
      <alignment vertical="center"/>
    </xf>
    <xf numFmtId="0" fontId="21" fillId="0" borderId="0">
      <alignment vertical="center"/>
    </xf>
    <xf numFmtId="0" fontId="21" fillId="0" borderId="0">
      <alignment vertical="center"/>
    </xf>
    <xf numFmtId="0" fontId="31" fillId="0" borderId="0"/>
    <xf numFmtId="0" fontId="6" fillId="0" borderId="0">
      <alignment vertical="center"/>
    </xf>
    <xf numFmtId="0" fontId="31" fillId="0" borderId="0"/>
    <xf numFmtId="0" fontId="31" fillId="0" borderId="0">
      <alignment vertical="center"/>
    </xf>
    <xf numFmtId="0" fontId="21" fillId="0" borderId="0">
      <alignment vertical="center"/>
    </xf>
    <xf numFmtId="0" fontId="31" fillId="0" borderId="0"/>
    <xf numFmtId="0" fontId="21" fillId="0" borderId="0">
      <alignment vertical="center"/>
    </xf>
    <xf numFmtId="0" fontId="21" fillId="0" borderId="0">
      <alignment vertical="center"/>
    </xf>
    <xf numFmtId="0" fontId="6" fillId="0" borderId="0">
      <alignment vertical="center"/>
    </xf>
    <xf numFmtId="0" fontId="21" fillId="0" borderId="0">
      <alignment vertical="center"/>
    </xf>
    <xf numFmtId="0" fontId="6" fillId="0" borderId="0">
      <alignment vertical="center"/>
    </xf>
    <xf numFmtId="0" fontId="36" fillId="0" borderId="0">
      <alignment vertical="center"/>
    </xf>
    <xf numFmtId="0" fontId="45" fillId="0" borderId="0"/>
    <xf numFmtId="0" fontId="21" fillId="0" borderId="0">
      <alignment vertical="center"/>
    </xf>
    <xf numFmtId="0" fontId="31" fillId="0" borderId="0"/>
    <xf numFmtId="0" fontId="6" fillId="0" borderId="0">
      <alignment vertical="center"/>
    </xf>
    <xf numFmtId="0" fontId="21" fillId="0" borderId="0">
      <alignment vertical="center"/>
    </xf>
    <xf numFmtId="0" fontId="6" fillId="0" borderId="0">
      <alignment vertical="center"/>
    </xf>
    <xf numFmtId="0" fontId="31" fillId="0" borderId="0"/>
    <xf numFmtId="0" fontId="6" fillId="0" borderId="0">
      <alignment vertical="center"/>
    </xf>
    <xf numFmtId="0" fontId="6" fillId="0" borderId="0">
      <alignment vertical="center"/>
    </xf>
    <xf numFmtId="0" fontId="36" fillId="0" borderId="0">
      <alignment vertical="center"/>
    </xf>
    <xf numFmtId="0" fontId="31" fillId="0" borderId="0">
      <alignment vertical="center"/>
    </xf>
    <xf numFmtId="0" fontId="31" fillId="0" borderId="0">
      <alignment vertical="center"/>
    </xf>
    <xf numFmtId="0" fontId="6" fillId="0" borderId="0"/>
    <xf numFmtId="0" fontId="31" fillId="0" borderId="0">
      <alignment vertical="center"/>
    </xf>
    <xf numFmtId="0" fontId="6" fillId="0" borderId="0">
      <alignment vertical="center"/>
    </xf>
    <xf numFmtId="0" fontId="21" fillId="0" borderId="0">
      <alignment vertical="center"/>
    </xf>
    <xf numFmtId="0" fontId="6" fillId="0" borderId="0">
      <alignment vertical="center"/>
    </xf>
    <xf numFmtId="0" fontId="21" fillId="0" borderId="0">
      <alignment vertical="center"/>
    </xf>
    <xf numFmtId="0" fontId="36" fillId="0" borderId="0">
      <alignment vertical="center"/>
    </xf>
    <xf numFmtId="0" fontId="6" fillId="0" borderId="0">
      <alignment vertical="center"/>
    </xf>
    <xf numFmtId="0" fontId="21" fillId="0" borderId="0">
      <alignment vertical="center"/>
    </xf>
    <xf numFmtId="0" fontId="6" fillId="0" borderId="0">
      <alignment vertical="center"/>
    </xf>
    <xf numFmtId="0" fontId="6" fillId="0" borderId="0">
      <alignment vertical="center"/>
    </xf>
    <xf numFmtId="0" fontId="21" fillId="0" borderId="0">
      <alignment vertical="center"/>
    </xf>
    <xf numFmtId="0" fontId="6" fillId="0" borderId="0">
      <alignment vertical="center"/>
    </xf>
    <xf numFmtId="0" fontId="48" fillId="5" borderId="0" applyNumberFormat="0" applyBorder="0" applyAlignment="0" applyProtection="0">
      <alignment vertical="center"/>
    </xf>
    <xf numFmtId="0" fontId="48" fillId="5" borderId="0" applyNumberFormat="0" applyBorder="0" applyAlignment="0" applyProtection="0">
      <alignment vertical="center"/>
    </xf>
    <xf numFmtId="0" fontId="48" fillId="5" borderId="0" applyNumberFormat="0" applyBorder="0" applyAlignment="0" applyProtection="0">
      <alignment vertical="center"/>
    </xf>
    <xf numFmtId="38" fontId="31" fillId="0" borderId="0" applyFont="0" applyFill="0" applyBorder="0" applyAlignment="0" applyProtection="0"/>
    <xf numFmtId="40" fontId="31" fillId="0" borderId="0" applyFont="0" applyFill="0" applyBorder="0" applyAlignment="0" applyProtection="0"/>
    <xf numFmtId="6" fontId="31" fillId="0" borderId="0" applyFont="0" applyFill="0" applyBorder="0" applyAlignment="0" applyProtection="0"/>
    <xf numFmtId="8" fontId="31" fillId="0" borderId="0" applyFont="0" applyFill="0" applyBorder="0" applyAlignment="0" applyProtection="0"/>
    <xf numFmtId="0" fontId="31" fillId="0" borderId="0"/>
  </cellStyleXfs>
  <cellXfs count="124">
    <xf numFmtId="0" fontId="0" fillId="0" borderId="0" xfId="0"/>
    <xf numFmtId="0" fontId="3" fillId="0" borderId="0" xfId="0" applyFont="1"/>
    <xf numFmtId="0" fontId="4" fillId="0" borderId="0" xfId="0" applyFont="1"/>
    <xf numFmtId="0" fontId="5" fillId="0" borderId="0" xfId="1"/>
    <xf numFmtId="0" fontId="6" fillId="0" borderId="0" xfId="0" applyFont="1"/>
    <xf numFmtId="0" fontId="0" fillId="0" borderId="0" xfId="0" applyFont="1"/>
    <xf numFmtId="0" fontId="7" fillId="0" borderId="0" xfId="0" applyFont="1"/>
    <xf numFmtId="0" fontId="8" fillId="0" borderId="0" xfId="0" applyFont="1"/>
    <xf numFmtId="0" fontId="9" fillId="0" borderId="0" xfId="0" applyFont="1"/>
    <xf numFmtId="0" fontId="4" fillId="0" borderId="0" xfId="0" quotePrefix="1" applyFont="1"/>
    <xf numFmtId="0" fontId="0" fillId="0" borderId="1" xfId="0" applyBorder="1"/>
    <xf numFmtId="0" fontId="0" fillId="0" borderId="1" xfId="0" applyBorder="1" applyAlignment="1">
      <alignment horizontal="center"/>
    </xf>
    <xf numFmtId="0" fontId="0" fillId="0" borderId="2" xfId="0" applyBorder="1"/>
    <xf numFmtId="0" fontId="0" fillId="0" borderId="3" xfId="0" applyBorder="1"/>
    <xf numFmtId="0" fontId="0" fillId="0" borderId="4" xfId="0" applyBorder="1"/>
    <xf numFmtId="0" fontId="0" fillId="2" borderId="1" xfId="0" applyFill="1" applyBorder="1" applyAlignment="1">
      <alignment horizontal="center"/>
    </xf>
    <xf numFmtId="0" fontId="0" fillId="0" borderId="1" xfId="0" applyBorder="1" applyAlignment="1">
      <alignment wrapText="1"/>
    </xf>
    <xf numFmtId="0" fontId="0" fillId="0" borderId="0" xfId="0" applyAlignment="1">
      <alignment wrapText="1"/>
    </xf>
    <xf numFmtId="0" fontId="10" fillId="0" borderId="0" xfId="0" applyFont="1"/>
    <xf numFmtId="0" fontId="10" fillId="0" borderId="0" xfId="0" applyFont="1" applyAlignment="1">
      <alignment wrapText="1"/>
    </xf>
    <xf numFmtId="0" fontId="4" fillId="0" borderId="0" xfId="0" applyFont="1" applyFill="1"/>
    <xf numFmtId="0" fontId="10" fillId="0" borderId="0" xfId="0" applyFont="1" applyAlignment="1">
      <alignment horizontal="center" wrapText="1"/>
    </xf>
    <xf numFmtId="0" fontId="0" fillId="0" borderId="1" xfId="0" applyFill="1" applyBorder="1" applyAlignment="1">
      <alignment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center" vertical="center"/>
    </xf>
    <xf numFmtId="0" fontId="11" fillId="0" borderId="0" xfId="0" applyFont="1" applyAlignment="1">
      <alignment wrapText="1"/>
    </xf>
    <xf numFmtId="0" fontId="10" fillId="0" borderId="0" xfId="0" applyFont="1" applyAlignment="1">
      <alignment horizontal="centerContinuous"/>
    </xf>
    <xf numFmtId="0" fontId="0" fillId="0" borderId="3" xfId="0" applyBorder="1" applyAlignment="1">
      <alignment wrapText="1"/>
    </xf>
    <xf numFmtId="0" fontId="0" fillId="2" borderId="1" xfId="0" applyFill="1" applyBorder="1" applyAlignment="1">
      <alignment horizontal="center" wrapText="1"/>
    </xf>
    <xf numFmtId="0" fontId="6" fillId="0" borderId="0" xfId="0" quotePrefix="1" applyFont="1"/>
    <xf numFmtId="0" fontId="12" fillId="0" borderId="0" xfId="0" applyFont="1"/>
    <xf numFmtId="0" fontId="13" fillId="0" borderId="0" xfId="0" applyFont="1"/>
    <xf numFmtId="0" fontId="14" fillId="0" borderId="0" xfId="0" applyFont="1"/>
    <xf numFmtId="176" fontId="11" fillId="0" borderId="0" xfId="0" applyNumberFormat="1" applyFont="1"/>
    <xf numFmtId="0" fontId="0" fillId="0" borderId="2" xfId="0" applyBorder="1" applyAlignment="1">
      <alignment horizontal="left"/>
    </xf>
    <xf numFmtId="0" fontId="6" fillId="0" borderId="1" xfId="0" applyFont="1" applyFill="1" applyBorder="1" applyAlignment="1">
      <alignment vertical="center" wrapText="1"/>
    </xf>
    <xf numFmtId="0" fontId="0" fillId="0" borderId="1" xfId="0" applyFont="1" applyFill="1" applyBorder="1" applyAlignment="1">
      <alignment horizontal="center" vertical="center" wrapText="1"/>
    </xf>
    <xf numFmtId="0" fontId="0" fillId="0" borderId="1" xfId="0" applyBorder="1" applyAlignment="1">
      <alignment horizontal="left" vertical="center"/>
    </xf>
    <xf numFmtId="0" fontId="0" fillId="0" borderId="1" xfId="0" applyBorder="1" applyAlignment="1">
      <alignment horizontal="left"/>
    </xf>
    <xf numFmtId="0" fontId="0" fillId="0" borderId="0" xfId="0" applyAlignment="1">
      <alignment vertical="center"/>
    </xf>
    <xf numFmtId="0" fontId="0" fillId="0" borderId="6" xfId="0" applyBorder="1"/>
    <xf numFmtId="0" fontId="0" fillId="0" borderId="0" xfId="0" applyBorder="1"/>
    <xf numFmtId="0" fontId="0" fillId="0" borderId="0" xfId="0" applyAlignment="1">
      <alignment horizontal="left"/>
    </xf>
    <xf numFmtId="0" fontId="0" fillId="2" borderId="1" xfId="0" applyFill="1" applyBorder="1" applyAlignment="1">
      <alignment horizontal="right"/>
    </xf>
    <xf numFmtId="0" fontId="0" fillId="0" borderId="0" xfId="0" applyAlignment="1">
      <alignment horizontal="right"/>
    </xf>
    <xf numFmtId="0" fontId="0" fillId="2" borderId="2" xfId="0" applyFill="1" applyBorder="1" applyAlignment="1">
      <alignment horizontal="right"/>
    </xf>
    <xf numFmtId="0" fontId="17" fillId="0" borderId="0" xfId="0" applyFont="1"/>
    <xf numFmtId="0" fontId="17" fillId="0" borderId="0" xfId="0" applyFont="1" applyAlignment="1">
      <alignment wrapText="1"/>
    </xf>
    <xf numFmtId="0" fontId="18" fillId="0" borderId="0" xfId="0" applyFont="1"/>
    <xf numFmtId="0" fontId="18" fillId="0" borderId="0" xfId="0" applyFont="1" applyAlignment="1">
      <alignment wrapText="1"/>
    </xf>
    <xf numFmtId="0" fontId="0" fillId="0" borderId="7" xfId="0" applyBorder="1"/>
    <xf numFmtId="0" fontId="4" fillId="0" borderId="1" xfId="0" applyFont="1" applyBorder="1"/>
    <xf numFmtId="0" fontId="6" fillId="0" borderId="1" xfId="0" applyFont="1" applyBorder="1"/>
    <xf numFmtId="0" fontId="19" fillId="0" borderId="0" xfId="0" applyFont="1"/>
    <xf numFmtId="0" fontId="21" fillId="0" borderId="0" xfId="2">
      <alignment vertical="center"/>
    </xf>
    <xf numFmtId="0" fontId="22" fillId="0" borderId="0" xfId="2" applyFont="1">
      <alignment vertical="center"/>
    </xf>
    <xf numFmtId="0" fontId="23" fillId="0" borderId="0" xfId="2" applyFont="1" applyFill="1">
      <alignment vertical="center"/>
    </xf>
    <xf numFmtId="0" fontId="22" fillId="2" borderId="1" xfId="2" applyFont="1" applyFill="1" applyBorder="1" applyAlignment="1">
      <alignment horizontal="center" vertical="center"/>
    </xf>
    <xf numFmtId="14" fontId="22" fillId="0" borderId="1" xfId="2" applyNumberFormat="1" applyFont="1" applyBorder="1" applyAlignment="1">
      <alignment horizontal="center" vertical="center"/>
    </xf>
    <xf numFmtId="0" fontId="22" fillId="0" borderId="1" xfId="2" applyFont="1" applyBorder="1" applyAlignment="1">
      <alignment horizontal="center" vertical="center"/>
    </xf>
    <xf numFmtId="0" fontId="22" fillId="0" borderId="1" xfId="2" applyFont="1" applyBorder="1">
      <alignment vertical="center"/>
    </xf>
    <xf numFmtId="0" fontId="22" fillId="0" borderId="1" xfId="2" applyFont="1" applyBorder="1" applyAlignment="1">
      <alignment vertical="center" wrapText="1"/>
    </xf>
    <xf numFmtId="0" fontId="49" fillId="0" borderId="0" xfId="0" applyFont="1"/>
    <xf numFmtId="0" fontId="50" fillId="0" borderId="0" xfId="0" applyFont="1"/>
    <xf numFmtId="0" fontId="51" fillId="0" borderId="0" xfId="0" applyFont="1"/>
    <xf numFmtId="0" fontId="52" fillId="0" borderId="0" xfId="0" applyFont="1"/>
    <xf numFmtId="0" fontId="53" fillId="0" borderId="0" xfId="0" applyFont="1"/>
    <xf numFmtId="0" fontId="0" fillId="0" borderId="0" xfId="0" quotePrefix="1"/>
    <xf numFmtId="0" fontId="54" fillId="0" borderId="0" xfId="0" applyFont="1"/>
    <xf numFmtId="0" fontId="55" fillId="0" borderId="0" xfId="0" applyFont="1"/>
    <xf numFmtId="0" fontId="9" fillId="0" borderId="0" xfId="0" quotePrefix="1" applyFont="1"/>
    <xf numFmtId="0" fontId="0" fillId="25" borderId="18" xfId="0" applyFill="1" applyBorder="1"/>
    <xf numFmtId="0" fontId="0" fillId="25" borderId="19" xfId="0" applyFill="1" applyBorder="1"/>
    <xf numFmtId="0" fontId="0" fillId="25" borderId="20" xfId="0" applyFill="1" applyBorder="1"/>
    <xf numFmtId="0" fontId="0" fillId="25" borderId="0" xfId="0" applyFill="1" applyBorder="1"/>
    <xf numFmtId="0" fontId="0" fillId="25" borderId="21" xfId="0" applyFill="1" applyBorder="1"/>
    <xf numFmtId="0" fontId="0" fillId="25" borderId="22" xfId="0" applyFill="1" applyBorder="1"/>
    <xf numFmtId="0" fontId="0" fillId="25" borderId="23" xfId="0" applyFill="1" applyBorder="1"/>
    <xf numFmtId="0" fontId="0" fillId="26" borderId="1" xfId="0" applyFill="1" applyBorder="1" applyAlignment="1">
      <alignment horizontal="right"/>
    </xf>
    <xf numFmtId="0" fontId="56" fillId="25" borderId="17" xfId="0" applyFont="1" applyFill="1" applyBorder="1"/>
    <xf numFmtId="0" fontId="0" fillId="28" borderId="19" xfId="0" applyFill="1" applyBorder="1"/>
    <xf numFmtId="0" fontId="0" fillId="28" borderId="20" xfId="0" applyFill="1" applyBorder="1"/>
    <xf numFmtId="0" fontId="0" fillId="28" borderId="21" xfId="0" applyFill="1" applyBorder="1"/>
    <xf numFmtId="0" fontId="0" fillId="28" borderId="22" xfId="0" applyFill="1" applyBorder="1"/>
    <xf numFmtId="0" fontId="0" fillId="28" borderId="24" xfId="0" applyFill="1" applyBorder="1"/>
    <xf numFmtId="0" fontId="57" fillId="28" borderId="17" xfId="0" applyFont="1" applyFill="1" applyBorder="1"/>
    <xf numFmtId="0" fontId="0" fillId="27" borderId="5" xfId="0" applyFill="1" applyBorder="1" applyAlignment="1" applyProtection="1">
      <alignment horizontal="center"/>
      <protection locked="0"/>
    </xf>
    <xf numFmtId="0" fontId="20" fillId="27" borderId="5" xfId="0" applyFont="1" applyFill="1" applyBorder="1" applyAlignment="1" applyProtection="1">
      <alignment horizontal="center"/>
      <protection locked="0"/>
    </xf>
    <xf numFmtId="0" fontId="58" fillId="0" borderId="0" xfId="0" applyFont="1"/>
    <xf numFmtId="0" fontId="20" fillId="0" borderId="0" xfId="0" applyFont="1"/>
    <xf numFmtId="0" fontId="59" fillId="0" borderId="0" xfId="0" applyFont="1"/>
    <xf numFmtId="0" fontId="60" fillId="0" borderId="0" xfId="0" applyFont="1"/>
    <xf numFmtId="0" fontId="0" fillId="0" borderId="0" xfId="0" applyAlignment="1">
      <alignment horizontal="center"/>
    </xf>
    <xf numFmtId="0" fontId="0" fillId="2" borderId="1" xfId="0" applyFill="1" applyBorder="1" applyAlignment="1">
      <alignment horizontal="centerContinuous"/>
    </xf>
    <xf numFmtId="0" fontId="0" fillId="0" borderId="0" xfId="0" applyAlignment="1">
      <alignment vertical="center" wrapText="1"/>
    </xf>
    <xf numFmtId="0" fontId="0" fillId="0" borderId="1" xfId="0" applyBorder="1" applyAlignment="1">
      <alignment horizontal="center" vertical="center" wrapText="1"/>
    </xf>
    <xf numFmtId="14" fontId="0" fillId="0" borderId="1" xfId="0" applyNumberFormat="1" applyBorder="1" applyAlignment="1">
      <alignment horizontal="center" vertical="center" wrapText="1"/>
    </xf>
    <xf numFmtId="0" fontId="0" fillId="25" borderId="23" xfId="0" applyFill="1" applyBorder="1" applyAlignment="1">
      <alignment horizontal="right"/>
    </xf>
    <xf numFmtId="0" fontId="0" fillId="27" borderId="17" xfId="0" applyFill="1" applyBorder="1"/>
    <xf numFmtId="0" fontId="0" fillId="27" borderId="18" xfId="0" applyFill="1" applyBorder="1"/>
    <xf numFmtId="0" fontId="0" fillId="27" borderId="20" xfId="0" applyFill="1" applyBorder="1"/>
    <xf numFmtId="0" fontId="0" fillId="27" borderId="0" xfId="0" applyFill="1" applyBorder="1"/>
    <xf numFmtId="0" fontId="0" fillId="29" borderId="18" xfId="0" applyFill="1" applyBorder="1"/>
    <xf numFmtId="0" fontId="0" fillId="29" borderId="19" xfId="0" applyFill="1" applyBorder="1"/>
    <xf numFmtId="0" fontId="0" fillId="29" borderId="20" xfId="0" applyFill="1" applyBorder="1"/>
    <xf numFmtId="0" fontId="0" fillId="29" borderId="0" xfId="0" applyFill="1" applyBorder="1"/>
    <xf numFmtId="0" fontId="0" fillId="29" borderId="21" xfId="0" applyFill="1" applyBorder="1"/>
    <xf numFmtId="0" fontId="0" fillId="29" borderId="22" xfId="0" applyFill="1" applyBorder="1"/>
    <xf numFmtId="0" fontId="0" fillId="29" borderId="25" xfId="0" applyFill="1" applyBorder="1" applyAlignment="1">
      <alignment horizontal="right"/>
    </xf>
    <xf numFmtId="0" fontId="0" fillId="29" borderId="25" xfId="0" applyFill="1" applyBorder="1"/>
    <xf numFmtId="0" fontId="0" fillId="29" borderId="23" xfId="0" applyFill="1" applyBorder="1"/>
    <xf numFmtId="0" fontId="0" fillId="29" borderId="24" xfId="0" applyFill="1" applyBorder="1"/>
    <xf numFmtId="0" fontId="61" fillId="29" borderId="17" xfId="0" applyFont="1" applyFill="1" applyBorder="1"/>
    <xf numFmtId="0" fontId="0" fillId="30" borderId="1" xfId="0" applyFill="1" applyBorder="1" applyAlignment="1">
      <alignment horizontal="right"/>
    </xf>
    <xf numFmtId="0" fontId="0" fillId="0" borderId="0" xfId="0" applyAlignment="1">
      <alignment horizontal="center" vertical="center"/>
    </xf>
    <xf numFmtId="0" fontId="0" fillId="27" borderId="1" xfId="0" applyFill="1" applyBorder="1" applyAlignment="1" applyProtection="1">
      <alignment horizontal="left"/>
      <protection locked="0"/>
    </xf>
    <xf numFmtId="14" fontId="0" fillId="27" borderId="1" xfId="0" applyNumberFormat="1" applyFill="1" applyBorder="1" applyAlignment="1" applyProtection="1">
      <alignment horizontal="left"/>
      <protection locked="0"/>
    </xf>
    <xf numFmtId="0" fontId="0" fillId="31" borderId="1" xfId="0" applyFill="1" applyBorder="1" applyAlignment="1" applyProtection="1">
      <alignment horizontal="left"/>
    </xf>
    <xf numFmtId="0" fontId="0" fillId="2" borderId="5" xfId="0" applyFill="1" applyBorder="1" applyAlignment="1">
      <alignment horizontal="center"/>
    </xf>
    <xf numFmtId="0" fontId="0" fillId="2" borderId="7" xfId="0" applyFill="1" applyBorder="1" applyAlignment="1">
      <alignment horizontal="center"/>
    </xf>
    <xf numFmtId="0" fontId="0" fillId="27" borderId="2" xfId="0" applyFill="1" applyBorder="1" applyAlignment="1" applyProtection="1">
      <alignment horizontal="left"/>
      <protection locked="0"/>
    </xf>
    <xf numFmtId="0" fontId="0" fillId="27" borderId="3" xfId="0" applyFill="1" applyBorder="1" applyAlignment="1" applyProtection="1">
      <alignment horizontal="left"/>
      <protection locked="0"/>
    </xf>
    <xf numFmtId="0" fontId="0" fillId="27" borderId="4" xfId="0" applyFill="1" applyBorder="1" applyAlignment="1" applyProtection="1">
      <alignment horizontal="left"/>
      <protection locked="0"/>
    </xf>
  </cellXfs>
  <cellStyles count="235">
    <cellStyle name="20% - アクセント 1 2" xfId="3"/>
    <cellStyle name="20% - アクセント 1 2 2" xfId="4"/>
    <cellStyle name="20% - アクセント 1 3" xfId="5"/>
    <cellStyle name="20% - アクセント 1 4" xfId="6"/>
    <cellStyle name="20% - アクセント 2 2" xfId="7"/>
    <cellStyle name="20% - アクセント 2 2 2" xfId="8"/>
    <cellStyle name="20% - アクセント 2 3" xfId="9"/>
    <cellStyle name="20% - アクセント 2 4" xfId="10"/>
    <cellStyle name="20% - アクセント 3 2" xfId="11"/>
    <cellStyle name="20% - アクセント 3 2 2" xfId="12"/>
    <cellStyle name="20% - アクセント 3 3" xfId="13"/>
    <cellStyle name="20% - アクセント 3 4" xfId="14"/>
    <cellStyle name="20% - アクセント 4 2" xfId="15"/>
    <cellStyle name="20% - アクセント 4 2 2" xfId="16"/>
    <cellStyle name="20% - アクセント 4 3" xfId="17"/>
    <cellStyle name="20% - アクセント 4 4" xfId="18"/>
    <cellStyle name="20% - アクセント 5 2" xfId="19"/>
    <cellStyle name="20% - アクセント 5 2 2" xfId="20"/>
    <cellStyle name="20% - アクセント 5 3" xfId="21"/>
    <cellStyle name="20% - アクセント 5 4" xfId="22"/>
    <cellStyle name="20% - アクセント 6 2" xfId="23"/>
    <cellStyle name="20% - アクセント 6 2 2" xfId="24"/>
    <cellStyle name="20% - アクセント 6 3" xfId="25"/>
    <cellStyle name="20% - アクセント 6 4" xfId="26"/>
    <cellStyle name="40% - アクセント 1 2" xfId="27"/>
    <cellStyle name="40% - アクセント 1 2 2" xfId="28"/>
    <cellStyle name="40% - アクセント 1 3" xfId="29"/>
    <cellStyle name="40% - アクセント 1 4" xfId="30"/>
    <cellStyle name="40% - アクセント 2 2" xfId="31"/>
    <cellStyle name="40% - アクセント 2 2 2" xfId="32"/>
    <cellStyle name="40% - アクセント 2 3" xfId="33"/>
    <cellStyle name="40% - アクセント 2 4" xfId="34"/>
    <cellStyle name="40% - アクセント 3 2" xfId="35"/>
    <cellStyle name="40% - アクセント 3 2 2" xfId="36"/>
    <cellStyle name="40% - アクセント 3 3" xfId="37"/>
    <cellStyle name="40% - アクセント 3 4" xfId="38"/>
    <cellStyle name="40% - アクセント 4 2" xfId="39"/>
    <cellStyle name="40% - アクセント 4 2 2" xfId="40"/>
    <cellStyle name="40% - アクセント 4 3" xfId="41"/>
    <cellStyle name="40% - アクセント 4 4" xfId="42"/>
    <cellStyle name="40% - アクセント 5 2" xfId="43"/>
    <cellStyle name="40% - アクセント 5 2 2" xfId="44"/>
    <cellStyle name="40% - アクセント 5 3" xfId="45"/>
    <cellStyle name="40% - アクセント 5 4" xfId="46"/>
    <cellStyle name="40% - アクセント 6 2" xfId="47"/>
    <cellStyle name="40% - アクセント 6 2 2" xfId="48"/>
    <cellStyle name="40% - アクセント 6 3" xfId="49"/>
    <cellStyle name="40% - アクセント 6 4" xfId="50"/>
    <cellStyle name="60% - アクセント 1 2" xfId="51"/>
    <cellStyle name="60% - アクセント 1 3" xfId="52"/>
    <cellStyle name="60% - アクセント 1 4" xfId="53"/>
    <cellStyle name="60% - アクセント 2 2" xfId="54"/>
    <cellStyle name="60% - アクセント 2 3" xfId="55"/>
    <cellStyle name="60% - アクセント 2 4" xfId="56"/>
    <cellStyle name="60% - アクセント 3 2" xfId="57"/>
    <cellStyle name="60% - アクセント 3 3" xfId="58"/>
    <cellStyle name="60% - アクセント 3 4" xfId="59"/>
    <cellStyle name="60% - アクセント 4 2" xfId="60"/>
    <cellStyle name="60% - アクセント 4 3" xfId="61"/>
    <cellStyle name="60% - アクセント 4 4" xfId="62"/>
    <cellStyle name="60% - アクセント 5 2" xfId="63"/>
    <cellStyle name="60% - アクセント 5 3" xfId="64"/>
    <cellStyle name="60% - アクセント 5 4" xfId="65"/>
    <cellStyle name="60% - アクセント 6 2" xfId="66"/>
    <cellStyle name="60% - アクセント 6 3" xfId="67"/>
    <cellStyle name="60% - アクセント 6 4" xfId="68"/>
    <cellStyle name="アクセント 1 2" xfId="69"/>
    <cellStyle name="アクセント 1 3" xfId="70"/>
    <cellStyle name="アクセント 1 4" xfId="71"/>
    <cellStyle name="アクセント 2 2" xfId="72"/>
    <cellStyle name="アクセント 2 3" xfId="73"/>
    <cellStyle name="アクセント 2 4" xfId="74"/>
    <cellStyle name="アクセント 3 2" xfId="75"/>
    <cellStyle name="アクセント 3 3" xfId="76"/>
    <cellStyle name="アクセント 3 4" xfId="77"/>
    <cellStyle name="アクセント 4 2" xfId="78"/>
    <cellStyle name="アクセント 4 3" xfId="79"/>
    <cellStyle name="アクセント 4 4" xfId="80"/>
    <cellStyle name="アクセント 5 2" xfId="81"/>
    <cellStyle name="アクセント 5 3" xfId="82"/>
    <cellStyle name="アクセント 5 4" xfId="83"/>
    <cellStyle name="アクセント 6 2" xfId="84"/>
    <cellStyle name="アクセント 6 3" xfId="85"/>
    <cellStyle name="アクセント 6 4" xfId="86"/>
    <cellStyle name="タイトル 2" xfId="87"/>
    <cellStyle name="タイトル 3" xfId="88"/>
    <cellStyle name="タイトル 4" xfId="89"/>
    <cellStyle name="チェック セル 2" xfId="90"/>
    <cellStyle name="チェック セル 3" xfId="91"/>
    <cellStyle name="チェック セル 4" xfId="92"/>
    <cellStyle name="どちらでもない 2" xfId="93"/>
    <cellStyle name="どちらでもない 3" xfId="94"/>
    <cellStyle name="どちらでもない 4" xfId="95"/>
    <cellStyle name="パーセント 2" xfId="96"/>
    <cellStyle name="パーセント 2 2" xfId="97"/>
    <cellStyle name="ハイパーリンク" xfId="1" builtinId="8"/>
    <cellStyle name="ハイパーリンク 2" xfId="98"/>
    <cellStyle name="ハイパーリンク 3" xfId="99"/>
    <cellStyle name="メモ 2" xfId="100"/>
    <cellStyle name="メモ 3" xfId="101"/>
    <cellStyle name="メモ 4" xfId="102"/>
    <cellStyle name="リンク セル 2" xfId="103"/>
    <cellStyle name="リンク セル 3" xfId="104"/>
    <cellStyle name="リンク セル 4" xfId="105"/>
    <cellStyle name="悪い 2" xfId="106"/>
    <cellStyle name="悪い 3" xfId="107"/>
    <cellStyle name="悪い 4" xfId="108"/>
    <cellStyle name="計算 2" xfId="109"/>
    <cellStyle name="計算 3" xfId="110"/>
    <cellStyle name="計算 4" xfId="111"/>
    <cellStyle name="警告文 2" xfId="112"/>
    <cellStyle name="警告文 3" xfId="113"/>
    <cellStyle name="警告文 4" xfId="114"/>
    <cellStyle name="桁区切り 2" xfId="115"/>
    <cellStyle name="桁区切り 2 2" xfId="116"/>
    <cellStyle name="桁区切り 2 3" xfId="117"/>
    <cellStyle name="桁区切り 2 4" xfId="118"/>
    <cellStyle name="桁区切り 3" xfId="119"/>
    <cellStyle name="桁区切り 4" xfId="120"/>
    <cellStyle name="桁区切り 5" xfId="121"/>
    <cellStyle name="見出し 1 2" xfId="122"/>
    <cellStyle name="見出し 1 3" xfId="123"/>
    <cellStyle name="見出し 1 4" xfId="124"/>
    <cellStyle name="見出し 2 2" xfId="125"/>
    <cellStyle name="見出し 2 3" xfId="126"/>
    <cellStyle name="見出し 2 4" xfId="127"/>
    <cellStyle name="見出し 3 2" xfId="128"/>
    <cellStyle name="見出し 3 3" xfId="129"/>
    <cellStyle name="見出し 3 4" xfId="130"/>
    <cellStyle name="見出し 4 2" xfId="131"/>
    <cellStyle name="見出し 4 3" xfId="132"/>
    <cellStyle name="見出し 4 4" xfId="133"/>
    <cellStyle name="集計 2" xfId="134"/>
    <cellStyle name="集計 3" xfId="135"/>
    <cellStyle name="集計 4" xfId="136"/>
    <cellStyle name="出力 2" xfId="137"/>
    <cellStyle name="出力 3" xfId="138"/>
    <cellStyle name="出力 4" xfId="139"/>
    <cellStyle name="説明文 2" xfId="140"/>
    <cellStyle name="説明文 3" xfId="141"/>
    <cellStyle name="説明文 4" xfId="142"/>
    <cellStyle name="日付" xfId="143"/>
    <cellStyle name="入力 2" xfId="144"/>
    <cellStyle name="入力 3" xfId="145"/>
    <cellStyle name="入力 4" xfId="146"/>
    <cellStyle name="標準" xfId="0" builtinId="0"/>
    <cellStyle name="標準 10" xfId="147"/>
    <cellStyle name="標準 11" xfId="148"/>
    <cellStyle name="標準 12" xfId="149"/>
    <cellStyle name="標準 13" xfId="150"/>
    <cellStyle name="標準 13 2" xfId="151"/>
    <cellStyle name="標準 13 3" xfId="152"/>
    <cellStyle name="標準 14" xfId="153"/>
    <cellStyle name="標準 14 2" xfId="154"/>
    <cellStyle name="標準 14 3" xfId="155"/>
    <cellStyle name="標準 14 4" xfId="156"/>
    <cellStyle name="標準 14 5" xfId="157"/>
    <cellStyle name="標準 15" xfId="158"/>
    <cellStyle name="標準 15 2" xfId="159"/>
    <cellStyle name="標準 15 3" xfId="160"/>
    <cellStyle name="標準 15 4" xfId="161"/>
    <cellStyle name="標準 16" xfId="162"/>
    <cellStyle name="標準 16 2" xfId="163"/>
    <cellStyle name="標準 16 3" xfId="164"/>
    <cellStyle name="標準 17" xfId="165"/>
    <cellStyle name="標準 18" xfId="166"/>
    <cellStyle name="標準 19" xfId="167"/>
    <cellStyle name="標準 2" xfId="168"/>
    <cellStyle name="標準 2 2" xfId="169"/>
    <cellStyle name="標準 2 2 2" xfId="170"/>
    <cellStyle name="標準 2 2_R&amp;D結合試験項目書_12A,D,F,G,H,J,M_ﾘﾝﾌﾟﾎｰﾑの導入a" xfId="171"/>
    <cellStyle name="標準 2 3" xfId="172"/>
    <cellStyle name="標準 2 3 2" xfId="2"/>
    <cellStyle name="標準 2 3 2 2" xfId="173"/>
    <cellStyle name="標準 2 4" xfId="174"/>
    <cellStyle name="標準 2 4 2" xfId="175"/>
    <cellStyle name="標準 2 4 3" xfId="176"/>
    <cellStyle name="標準 2 5" xfId="177"/>
    <cellStyle name="標準 2 6" xfId="178"/>
    <cellStyle name="標準 2 7" xfId="179"/>
    <cellStyle name="標準 2_IF確認観点補足" xfId="180"/>
    <cellStyle name="標準 20" xfId="181"/>
    <cellStyle name="標準 21" xfId="182"/>
    <cellStyle name="標準 22" xfId="183"/>
    <cellStyle name="標準 23" xfId="184"/>
    <cellStyle name="標準 24" xfId="185"/>
    <cellStyle name="標準 3" xfId="186"/>
    <cellStyle name="標準 3 2" xfId="187"/>
    <cellStyle name="標準 3 3" xfId="188"/>
    <cellStyle name="標準 3 3 2" xfId="189"/>
    <cellStyle name="標準 3 3 3" xfId="190"/>
    <cellStyle name="標準 3 4" xfId="191"/>
    <cellStyle name="標準 3 5" xfId="192"/>
    <cellStyle name="標準 3_IF確認観点補足" xfId="193"/>
    <cellStyle name="標準 4" xfId="194"/>
    <cellStyle name="標準 4 2" xfId="195"/>
    <cellStyle name="標準 4 3" xfId="196"/>
    <cellStyle name="標準 4 3 2" xfId="197"/>
    <cellStyle name="標準 4 4" xfId="198"/>
    <cellStyle name="標準 4 4 2" xfId="199"/>
    <cellStyle name="標準 4 4 2 2" xfId="200"/>
    <cellStyle name="標準 4 4 3" xfId="201"/>
    <cellStyle name="標準 4 5" xfId="202"/>
    <cellStyle name="標準 4_BullAPL構成設計書" xfId="203"/>
    <cellStyle name="標準 5" xfId="204"/>
    <cellStyle name="標準 5 2" xfId="205"/>
    <cellStyle name="標準 5 2 2" xfId="206"/>
    <cellStyle name="標準 5 2 2 2" xfId="207"/>
    <cellStyle name="標準 5 3" xfId="208"/>
    <cellStyle name="標準 5 4" xfId="209"/>
    <cellStyle name="標準 5 4 2" xfId="210"/>
    <cellStyle name="標準 5 4 3" xfId="211"/>
    <cellStyle name="標準 6" xfId="212"/>
    <cellStyle name="標準 6 2" xfId="213"/>
    <cellStyle name="標準 6 3" xfId="214"/>
    <cellStyle name="標準 6 4" xfId="215"/>
    <cellStyle name="標準 7" xfId="216"/>
    <cellStyle name="標準 7 2" xfId="217"/>
    <cellStyle name="標準 7 2 2" xfId="218"/>
    <cellStyle name="標準 7 3" xfId="219"/>
    <cellStyle name="標準 7 4" xfId="220"/>
    <cellStyle name="標準 8" xfId="221"/>
    <cellStyle name="標準 8 2" xfId="222"/>
    <cellStyle name="標準 8 2 2" xfId="223"/>
    <cellStyle name="標準 9" xfId="224"/>
    <cellStyle name="標準 9 2" xfId="225"/>
    <cellStyle name="標準 9 2 2" xfId="226"/>
    <cellStyle name="良い 2" xfId="227"/>
    <cellStyle name="良い 3" xfId="228"/>
    <cellStyle name="良い 4" xfId="229"/>
    <cellStyle name="콤마 [0]_PPEI3.2_confirmation_031226" xfId="230"/>
    <cellStyle name="콤마_PPEI3.2_confirmation_031226" xfId="231"/>
    <cellStyle name="통화 [0]_PPEI3.2_confirmation_031226" xfId="232"/>
    <cellStyle name="통화_PPEI3.2_confirmation_031226" xfId="233"/>
    <cellStyle name="표준_PPEI3.2_confirmation_031226" xfId="234"/>
  </cellStyles>
  <dxfs count="2">
    <dxf>
      <fill>
        <patternFill>
          <bgColor theme="0" tint="-0.499984740745262"/>
        </patternFill>
      </fill>
    </dxf>
    <dxf>
      <fill>
        <patternFill>
          <bgColor theme="0" tint="-0.49998474074526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36</xdr:row>
      <xdr:rowOff>71664</xdr:rowOff>
    </xdr:from>
    <xdr:to>
      <xdr:col>23</xdr:col>
      <xdr:colOff>0</xdr:colOff>
      <xdr:row>52</xdr:row>
      <xdr:rowOff>0</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9200" y="8025039"/>
          <a:ext cx="5791200" cy="26715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18</xdr:col>
      <xdr:colOff>295275</xdr:colOff>
      <xdr:row>75</xdr:row>
      <xdr:rowOff>114301</xdr:rowOff>
    </xdr:from>
    <xdr:to>
      <xdr:col>26</xdr:col>
      <xdr:colOff>999</xdr:colOff>
      <xdr:row>96</xdr:row>
      <xdr:rowOff>38101</xdr:rowOff>
    </xdr:to>
    <xdr:pic>
      <xdr:nvPicPr>
        <xdr:cNvPr id="17" name="図 1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781675" y="13039726"/>
          <a:ext cx="2144124" cy="3524250"/>
        </a:xfrm>
        <a:prstGeom prst="rect">
          <a:avLst/>
        </a:prstGeom>
      </xdr:spPr>
    </xdr:pic>
    <xdr:clientData/>
  </xdr:twoCellAnchor>
  <xdr:oneCellAnchor>
    <xdr:from>
      <xdr:col>4</xdr:col>
      <xdr:colOff>228601</xdr:colOff>
      <xdr:row>75</xdr:row>
      <xdr:rowOff>0</xdr:rowOff>
    </xdr:from>
    <xdr:ext cx="1133333" cy="2880000"/>
    <xdr:pic>
      <xdr:nvPicPr>
        <xdr:cNvPr id="3" name="図 2"/>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84" b="11044"/>
        <a:stretch/>
      </xdr:blipFill>
      <xdr:spPr>
        <a:xfrm>
          <a:off x="838201" y="13096875"/>
          <a:ext cx="1133333" cy="2880000"/>
        </a:xfrm>
        <a:prstGeom prst="rect">
          <a:avLst/>
        </a:prstGeom>
      </xdr:spPr>
    </xdr:pic>
    <xdr:clientData/>
  </xdr:oneCellAnchor>
  <xdr:oneCellAnchor>
    <xdr:from>
      <xdr:col>10</xdr:col>
      <xdr:colOff>266701</xdr:colOff>
      <xdr:row>75</xdr:row>
      <xdr:rowOff>9814</xdr:rowOff>
    </xdr:from>
    <xdr:ext cx="1085714" cy="2914286"/>
    <xdr:pic>
      <xdr:nvPicPr>
        <xdr:cNvPr id="4" name="図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705101" y="13106689"/>
          <a:ext cx="1085714" cy="2914286"/>
        </a:xfrm>
        <a:prstGeom prst="rect">
          <a:avLst/>
        </a:prstGeom>
      </xdr:spPr>
    </xdr:pic>
    <xdr:clientData/>
  </xdr:oneCellAnchor>
  <xdr:twoCellAnchor>
    <xdr:from>
      <xdr:col>14</xdr:col>
      <xdr:colOff>1</xdr:colOff>
      <xdr:row>84</xdr:row>
      <xdr:rowOff>76125</xdr:rowOff>
    </xdr:from>
    <xdr:to>
      <xdr:col>18</xdr:col>
      <xdr:colOff>257176</xdr:colOff>
      <xdr:row>88</xdr:row>
      <xdr:rowOff>9450</xdr:rowOff>
    </xdr:to>
    <xdr:sp macro="" textlink="">
      <xdr:nvSpPr>
        <xdr:cNvPr id="5" name="右矢印 4"/>
        <xdr:cNvSpPr/>
      </xdr:nvSpPr>
      <xdr:spPr>
        <a:xfrm>
          <a:off x="3962401" y="15058950"/>
          <a:ext cx="1476375" cy="619125"/>
        </a:xfrm>
        <a:prstGeom prst="rightArrow">
          <a:avLst/>
        </a:prstGeom>
        <a:solidFill>
          <a:srgbClr val="FF0000">
            <a:alpha val="22000"/>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100">
              <a:solidFill>
                <a:sysClr val="windowText" lastClr="000000"/>
              </a:solidFill>
            </a:rPr>
            <a:t>(B)</a:t>
          </a:r>
          <a:endParaRPr kumimoji="1" lang="ja-JP" altLang="en-US" sz="1100">
            <a:solidFill>
              <a:sysClr val="windowText" lastClr="000000"/>
            </a:solidFill>
          </a:endParaRPr>
        </a:p>
      </xdr:txBody>
    </xdr:sp>
    <xdr:clientData/>
  </xdr:twoCellAnchor>
  <xdr:twoCellAnchor>
    <xdr:from>
      <xdr:col>13</xdr:col>
      <xdr:colOff>276226</xdr:colOff>
      <xdr:row>87</xdr:row>
      <xdr:rowOff>161850</xdr:rowOff>
    </xdr:from>
    <xdr:to>
      <xdr:col>18</xdr:col>
      <xdr:colOff>180976</xdr:colOff>
      <xdr:row>91</xdr:row>
      <xdr:rowOff>95175</xdr:rowOff>
    </xdr:to>
    <xdr:sp macro="" textlink="">
      <xdr:nvSpPr>
        <xdr:cNvPr id="6" name="右矢印 5"/>
        <xdr:cNvSpPr/>
      </xdr:nvSpPr>
      <xdr:spPr>
        <a:xfrm flipH="1">
          <a:off x="3933826" y="15659025"/>
          <a:ext cx="1428750" cy="619125"/>
        </a:xfrm>
        <a:prstGeom prst="rightArrow">
          <a:avLst/>
        </a:prstGeom>
        <a:solidFill>
          <a:srgbClr val="0070C0">
            <a:alpha val="36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100">
              <a:solidFill>
                <a:sysClr val="windowText" lastClr="000000"/>
              </a:solidFill>
            </a:rPr>
            <a:t>(C)</a:t>
          </a:r>
          <a:endParaRPr kumimoji="1" lang="ja-JP" altLang="en-US" sz="1100">
            <a:solidFill>
              <a:sysClr val="windowText" lastClr="000000"/>
            </a:solidFill>
          </a:endParaRPr>
        </a:p>
      </xdr:txBody>
    </xdr:sp>
    <xdr:clientData/>
  </xdr:twoCellAnchor>
  <xdr:twoCellAnchor>
    <xdr:from>
      <xdr:col>7</xdr:col>
      <xdr:colOff>76201</xdr:colOff>
      <xdr:row>86</xdr:row>
      <xdr:rowOff>9450</xdr:rowOff>
    </xdr:from>
    <xdr:to>
      <xdr:col>11</xdr:col>
      <xdr:colOff>38101</xdr:colOff>
      <xdr:row>89</xdr:row>
      <xdr:rowOff>114225</xdr:rowOff>
    </xdr:to>
    <xdr:sp macro="" textlink="">
      <xdr:nvSpPr>
        <xdr:cNvPr id="7" name="右矢印 6"/>
        <xdr:cNvSpPr/>
      </xdr:nvSpPr>
      <xdr:spPr>
        <a:xfrm>
          <a:off x="1600201" y="14992275"/>
          <a:ext cx="1181100" cy="619125"/>
        </a:xfrm>
        <a:prstGeom prst="rightArrow">
          <a:avLst/>
        </a:prstGeom>
        <a:solidFill>
          <a:schemeClr val="accent4">
            <a:lumMod val="60000"/>
            <a:lumOff val="40000"/>
            <a:alpha val="29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100">
              <a:solidFill>
                <a:sysClr val="windowText" lastClr="000000"/>
              </a:solidFill>
            </a:rPr>
            <a:t>(A)</a:t>
          </a:r>
          <a:endParaRPr kumimoji="1" lang="ja-JP" altLang="en-US" sz="1100">
            <a:solidFill>
              <a:sysClr val="windowText" lastClr="000000"/>
            </a:solidFill>
          </a:endParaRPr>
        </a:p>
      </xdr:txBody>
    </xdr:sp>
    <xdr:clientData/>
  </xdr:twoCellAnchor>
  <xdr:twoCellAnchor>
    <xdr:from>
      <xdr:col>3</xdr:col>
      <xdr:colOff>142876</xdr:colOff>
      <xdr:row>92</xdr:row>
      <xdr:rowOff>9450</xdr:rowOff>
    </xdr:from>
    <xdr:to>
      <xdr:col>13</xdr:col>
      <xdr:colOff>266702</xdr:colOff>
      <xdr:row>103</xdr:row>
      <xdr:rowOff>9526</xdr:rowOff>
    </xdr:to>
    <xdr:sp macro="" textlink="">
      <xdr:nvSpPr>
        <xdr:cNvPr id="8" name="テキスト ボックス 7"/>
        <xdr:cNvSpPr txBox="1"/>
      </xdr:nvSpPr>
      <xdr:spPr>
        <a:xfrm>
          <a:off x="752476" y="16020975"/>
          <a:ext cx="3171826" cy="1886026"/>
        </a:xfrm>
        <a:prstGeom prst="rect">
          <a:avLst/>
        </a:prstGeom>
        <a:solidFill>
          <a:schemeClr val="accent4">
            <a:lumMod val="60000"/>
            <a:lumOff val="40000"/>
            <a:alpha val="29000"/>
          </a:schemeClr>
        </a:solidFill>
        <a:ln w="9525" cmpd="sng">
          <a:solidFill>
            <a:schemeClr val="accent4">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1">
              <a:solidFill>
                <a:sysClr val="windowText" lastClr="000000"/>
              </a:solidFill>
            </a:rPr>
            <a:t>&lt;&lt;</a:t>
          </a:r>
          <a:r>
            <a:rPr kumimoji="1" lang="ja-JP" altLang="en-US" sz="1100" b="1">
              <a:solidFill>
                <a:sysClr val="windowText" lastClr="000000"/>
              </a:solidFill>
            </a:rPr>
            <a:t>単体試験</a:t>
          </a:r>
          <a:r>
            <a:rPr kumimoji="1" lang="en-US" altLang="ja-JP" sz="1100" b="1">
              <a:solidFill>
                <a:sysClr val="windowText" lastClr="000000"/>
              </a:solidFill>
            </a:rPr>
            <a:t>&gt;&gt;</a:t>
          </a:r>
        </a:p>
        <a:p>
          <a:r>
            <a:rPr kumimoji="1" lang="ja-JP" altLang="en-US" sz="1100">
              <a:solidFill>
                <a:sysClr val="windowText" lastClr="000000"/>
              </a:solidFill>
            </a:rPr>
            <a:t>・テスト報告書、</a:t>
          </a:r>
          <a:r>
            <a:rPr kumimoji="1" lang="en-US" altLang="ja-JP" sz="1100">
              <a:solidFill>
                <a:sysClr val="windowText" lastClr="000000"/>
              </a:solidFill>
            </a:rPr>
            <a:t>csv</a:t>
          </a:r>
          <a:r>
            <a:rPr kumimoji="1" lang="ja-JP" altLang="en-US" sz="1100">
              <a:solidFill>
                <a:sysClr val="windowText" lastClr="000000"/>
              </a:solidFill>
            </a:rPr>
            <a:t>、</a:t>
          </a:r>
          <a:r>
            <a:rPr kumimoji="1" lang="en-US" altLang="ja-JP" sz="1100">
              <a:solidFill>
                <a:sysClr val="windowText" lastClr="000000"/>
              </a:solidFill>
            </a:rPr>
            <a:t>txt </a:t>
          </a:r>
          <a:r>
            <a:rPr kumimoji="1" lang="ja-JP" altLang="en-US" sz="1100">
              <a:solidFill>
                <a:sysClr val="windowText" lastClr="000000"/>
              </a:solidFill>
            </a:rPr>
            <a:t>が漏れなく存在するか。</a:t>
          </a:r>
          <a:endParaRPr kumimoji="1" lang="en-US" altLang="ja-JP" sz="1100">
            <a:solidFill>
              <a:sysClr val="windowText" lastClr="000000"/>
            </a:solidFill>
          </a:endParaRPr>
        </a:p>
        <a:p>
          <a:r>
            <a:rPr kumimoji="1" lang="ja-JP" altLang="en-US" sz="1100">
              <a:solidFill>
                <a:sysClr val="windowText" lastClr="000000"/>
              </a:solidFill>
            </a:rPr>
            <a:t>・</a:t>
          </a:r>
          <a:r>
            <a:rPr kumimoji="1" lang="en-US" altLang="ja-JP" sz="1100">
              <a:solidFill>
                <a:sysClr val="windowText" lastClr="000000"/>
              </a:solidFill>
            </a:rPr>
            <a:t>csv </a:t>
          </a:r>
          <a:r>
            <a:rPr kumimoji="1" lang="ja-JP" altLang="en-US" sz="1100">
              <a:solidFill>
                <a:sysClr val="windowText" lastClr="000000"/>
              </a:solidFill>
            </a:rPr>
            <a:t>ファイルが</a:t>
          </a:r>
          <a:r>
            <a:rPr kumimoji="1" lang="en-US" altLang="ja-JP" sz="1100">
              <a:solidFill>
                <a:sysClr val="windowText" lastClr="000000"/>
              </a:solidFill>
            </a:rPr>
            <a:t>[</a:t>
          </a:r>
          <a:r>
            <a:rPr kumimoji="1" lang="ja-JP" altLang="en-US" sz="1100">
              <a:solidFill>
                <a:sysClr val="windowText" lastClr="000000"/>
              </a:solidFill>
            </a:rPr>
            <a:t>関数名</a:t>
          </a:r>
          <a:r>
            <a:rPr kumimoji="1" lang="en-US" altLang="ja-JP" sz="1100">
              <a:solidFill>
                <a:sysClr val="windowText" lastClr="000000"/>
              </a:solidFill>
            </a:rPr>
            <a:t>]_[</a:t>
          </a:r>
          <a:r>
            <a:rPr kumimoji="1" lang="ja-JP" altLang="en-US" sz="1100">
              <a:solidFill>
                <a:sysClr val="windowText" lastClr="000000"/>
              </a:solidFill>
            </a:rPr>
            <a:t>項番</a:t>
          </a:r>
          <a:r>
            <a:rPr kumimoji="1" lang="en-US" altLang="ja-JP" sz="1100">
              <a:solidFill>
                <a:sysClr val="windowText" lastClr="000000"/>
              </a:solidFill>
            </a:rPr>
            <a:t>].csv </a:t>
          </a:r>
          <a:r>
            <a:rPr kumimoji="1" lang="ja-JP" altLang="en-US" sz="1100">
              <a:solidFill>
                <a:sysClr val="windowText" lastClr="000000"/>
              </a:solidFill>
            </a:rPr>
            <a:t>になっているか</a:t>
          </a:r>
          <a:endParaRPr kumimoji="1" lang="en-US" altLang="ja-JP" sz="1100">
            <a:solidFill>
              <a:sysClr val="windowText" lastClr="000000"/>
            </a:solidFill>
          </a:endParaRPr>
        </a:p>
        <a:p>
          <a:r>
            <a:rPr kumimoji="1" lang="ja-JP" altLang="en-US" sz="1100">
              <a:solidFill>
                <a:sysClr val="windowText" lastClr="000000"/>
              </a:solidFill>
            </a:rPr>
            <a:t>・</a:t>
          </a:r>
          <a:r>
            <a:rPr kumimoji="1" lang="en-US" altLang="ja-JP" sz="1100">
              <a:solidFill>
                <a:sysClr val="windowText" lastClr="000000"/>
              </a:solidFill>
            </a:rPr>
            <a:t>txt</a:t>
          </a:r>
          <a:r>
            <a:rPr kumimoji="1" lang="en-US" altLang="ja-JP" sz="1100" baseline="0">
              <a:solidFill>
                <a:sysClr val="windowText" lastClr="000000"/>
              </a:solidFill>
            </a:rPr>
            <a:t> </a:t>
          </a:r>
          <a:r>
            <a:rPr kumimoji="1" lang="ja-JP" altLang="en-US" sz="1100" baseline="0">
              <a:solidFill>
                <a:sysClr val="windowText" lastClr="000000"/>
              </a:solidFill>
            </a:rPr>
            <a:t>ファイルが</a:t>
          </a:r>
          <a:r>
            <a:rPr kumimoji="1" lang="en-US" altLang="ja-JP" sz="1100" baseline="0">
              <a:solidFill>
                <a:sysClr val="windowText" lastClr="000000"/>
              </a:solidFill>
            </a:rPr>
            <a:t>[</a:t>
          </a:r>
          <a:r>
            <a:rPr kumimoji="1" lang="ja-JP" altLang="en-US" sz="1100" baseline="0">
              <a:solidFill>
                <a:sysClr val="windowText" lastClr="000000"/>
              </a:solidFill>
            </a:rPr>
            <a:t>関数名</a:t>
          </a:r>
          <a:r>
            <a:rPr kumimoji="1" lang="en-US" altLang="ja-JP" sz="1100" baseline="0">
              <a:solidFill>
                <a:sysClr val="windowText" lastClr="000000"/>
              </a:solidFill>
            </a:rPr>
            <a:t>].txt </a:t>
          </a:r>
          <a:r>
            <a:rPr kumimoji="1" lang="ja-JP" altLang="en-US" sz="1100" baseline="0">
              <a:solidFill>
                <a:sysClr val="windowText" lastClr="000000"/>
              </a:solidFill>
            </a:rPr>
            <a:t>になっているか。</a:t>
          </a:r>
          <a:endParaRPr kumimoji="1" lang="en-US" altLang="ja-JP" sz="1100" baseline="0">
            <a:solidFill>
              <a:sysClr val="windowText" lastClr="000000"/>
            </a:solidFill>
          </a:endParaRPr>
        </a:p>
        <a:p>
          <a:endParaRPr kumimoji="1" lang="en-US" altLang="ja-JP" sz="1100" baseline="0">
            <a:solidFill>
              <a:sysClr val="windowText" lastClr="000000"/>
            </a:solidFill>
          </a:endParaRPr>
        </a:p>
        <a:p>
          <a:r>
            <a:rPr kumimoji="1" lang="en-US" altLang="ja-JP" sz="1100" b="1" baseline="0">
              <a:solidFill>
                <a:sysClr val="windowText" lastClr="000000"/>
              </a:solidFill>
            </a:rPr>
            <a:t>&lt;&lt;</a:t>
          </a:r>
          <a:r>
            <a:rPr kumimoji="1" lang="ja-JP" altLang="en-US" sz="1100" b="1" baseline="0">
              <a:solidFill>
                <a:sysClr val="windowText" lastClr="000000"/>
              </a:solidFill>
            </a:rPr>
            <a:t>結合・機能・システム試験</a:t>
          </a:r>
          <a:r>
            <a:rPr kumimoji="1" lang="en-US" altLang="ja-JP" sz="1100" b="1" baseline="0">
              <a:solidFill>
                <a:sysClr val="windowText" lastClr="000000"/>
              </a:solidFill>
            </a:rPr>
            <a:t>&gt;&gt;</a:t>
          </a:r>
        </a:p>
        <a:p>
          <a:r>
            <a:rPr kumimoji="1" lang="ja-JP" altLang="en-US" sz="1100" baseline="0">
              <a:solidFill>
                <a:sysClr val="windowText" lastClr="000000"/>
              </a:solidFill>
            </a:rPr>
            <a:t>・項番とファイル名が一致しているか。</a:t>
          </a:r>
          <a:endParaRPr kumimoji="1" lang="en-US" altLang="ja-JP" sz="1100" baseline="0">
            <a:solidFill>
              <a:sysClr val="windowText" lastClr="000000"/>
            </a:solidFill>
          </a:endParaRPr>
        </a:p>
        <a:p>
          <a:r>
            <a:rPr kumimoji="1" lang="ja-JP" altLang="en-US" sz="1100" baseline="0">
              <a:solidFill>
                <a:sysClr val="windowText" lastClr="000000"/>
              </a:solidFill>
            </a:rPr>
            <a:t>（一致しない場合は、警告を出すのみ）</a:t>
          </a:r>
          <a:endParaRPr kumimoji="1" lang="en-US" altLang="ja-JP" sz="1100" baseline="0">
            <a:solidFill>
              <a:sysClr val="windowText" lastClr="000000"/>
            </a:solidFill>
          </a:endParaRPr>
        </a:p>
      </xdr:txBody>
    </xdr:sp>
    <xdr:clientData/>
  </xdr:twoCellAnchor>
  <xdr:twoCellAnchor>
    <xdr:from>
      <xdr:col>14</xdr:col>
      <xdr:colOff>133351</xdr:colOff>
      <xdr:row>79</xdr:row>
      <xdr:rowOff>85725</xdr:rowOff>
    </xdr:from>
    <xdr:to>
      <xdr:col>18</xdr:col>
      <xdr:colOff>104777</xdr:colOff>
      <xdr:row>83</xdr:row>
      <xdr:rowOff>123750</xdr:rowOff>
    </xdr:to>
    <xdr:sp macro="" textlink="">
      <xdr:nvSpPr>
        <xdr:cNvPr id="9" name="テキスト ボックス 8"/>
        <xdr:cNvSpPr txBox="1"/>
      </xdr:nvSpPr>
      <xdr:spPr>
        <a:xfrm>
          <a:off x="4095751" y="14211300"/>
          <a:ext cx="1190626" cy="723825"/>
        </a:xfrm>
        <a:prstGeom prst="rect">
          <a:avLst/>
        </a:prstGeom>
        <a:solidFill>
          <a:srgbClr val="FF0000">
            <a:alpha val="22000"/>
          </a:srgbClr>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ysClr val="windowText" lastClr="000000"/>
              </a:solidFill>
            </a:rPr>
            <a:t>ログファイルが存在するか。</a:t>
          </a:r>
          <a:endParaRPr kumimoji="1" lang="en-US" altLang="ja-JP" sz="1100">
            <a:solidFill>
              <a:sysClr val="windowText" lastClr="000000"/>
            </a:solidFill>
          </a:endParaRPr>
        </a:p>
        <a:p>
          <a:r>
            <a:rPr kumimoji="1" lang="en-US" altLang="ja-JP" sz="1100">
              <a:solidFill>
                <a:sysClr val="windowText" lastClr="000000"/>
              </a:solidFill>
            </a:rPr>
            <a:t>(</a:t>
          </a:r>
          <a:r>
            <a:rPr kumimoji="1" lang="ja-JP" altLang="en-US" sz="1100">
              <a:solidFill>
                <a:sysClr val="windowText" lastClr="000000"/>
              </a:solidFill>
            </a:rPr>
            <a:t>不足チェック）</a:t>
          </a:r>
          <a:endParaRPr kumimoji="1" lang="en-US" altLang="ja-JP" sz="1100">
            <a:solidFill>
              <a:sysClr val="windowText" lastClr="000000"/>
            </a:solidFill>
          </a:endParaRPr>
        </a:p>
      </xdr:txBody>
    </xdr:sp>
    <xdr:clientData/>
  </xdr:twoCellAnchor>
  <xdr:twoCellAnchor>
    <xdr:from>
      <xdr:col>14</xdr:col>
      <xdr:colOff>114301</xdr:colOff>
      <xdr:row>91</xdr:row>
      <xdr:rowOff>133275</xdr:rowOff>
    </xdr:from>
    <xdr:to>
      <xdr:col>18</xdr:col>
      <xdr:colOff>152401</xdr:colOff>
      <xdr:row>95</xdr:row>
      <xdr:rowOff>152400</xdr:rowOff>
    </xdr:to>
    <xdr:sp macro="" textlink="">
      <xdr:nvSpPr>
        <xdr:cNvPr id="10" name="テキスト ボックス 9"/>
        <xdr:cNvSpPr txBox="1"/>
      </xdr:nvSpPr>
      <xdr:spPr>
        <a:xfrm>
          <a:off x="4076701" y="16316250"/>
          <a:ext cx="1257300" cy="704925"/>
        </a:xfrm>
        <a:prstGeom prst="rect">
          <a:avLst/>
        </a:prstGeom>
        <a:solidFill>
          <a:srgbClr val="0070C0">
            <a:alpha val="36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ysClr val="windowText" lastClr="000000"/>
              </a:solidFill>
            </a:rPr>
            <a:t>ログファイルが記載されているか。</a:t>
          </a:r>
          <a:endParaRPr kumimoji="1" lang="en-US" altLang="ja-JP" sz="1100">
            <a:solidFill>
              <a:sysClr val="windowText" lastClr="000000"/>
            </a:solidFill>
          </a:endParaRPr>
        </a:p>
        <a:p>
          <a:r>
            <a:rPr kumimoji="1" lang="ja-JP" altLang="en-US" sz="1100">
              <a:solidFill>
                <a:sysClr val="windowText" lastClr="000000"/>
              </a:solidFill>
            </a:rPr>
            <a:t>（余分チェック）</a:t>
          </a:r>
          <a:endParaRPr kumimoji="1" lang="en-US" altLang="ja-JP" sz="1100">
            <a:solidFill>
              <a:sysClr val="windowText" lastClr="000000"/>
            </a:solidFill>
          </a:endParaRPr>
        </a:p>
      </xdr:txBody>
    </xdr:sp>
    <xdr:clientData/>
  </xdr:twoCellAnchor>
  <xdr:twoCellAnchor>
    <xdr:from>
      <xdr:col>7</xdr:col>
      <xdr:colOff>38100</xdr:colOff>
      <xdr:row>74</xdr:row>
      <xdr:rowOff>38100</xdr:rowOff>
    </xdr:from>
    <xdr:to>
      <xdr:col>13</xdr:col>
      <xdr:colOff>0</xdr:colOff>
      <xdr:row>76</xdr:row>
      <xdr:rowOff>38100</xdr:rowOff>
    </xdr:to>
    <xdr:sp macro="" textlink="">
      <xdr:nvSpPr>
        <xdr:cNvPr id="11" name="テキスト ボックス 10"/>
        <xdr:cNvSpPr txBox="1"/>
      </xdr:nvSpPr>
      <xdr:spPr>
        <a:xfrm>
          <a:off x="2171700" y="12792075"/>
          <a:ext cx="1790700" cy="342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kumimoji="1" lang="ja-JP" altLang="en-US" sz="1100" b="1"/>
            <a:t>試験項目書</a:t>
          </a:r>
          <a:r>
            <a:rPr kumimoji="1" lang="en-US" altLang="ja-JP" sz="1100" b="1"/>
            <a:t> Excel</a:t>
          </a:r>
          <a:r>
            <a:rPr kumimoji="1" lang="ja-JP" altLang="en-US" sz="1100" b="1"/>
            <a:t>ファイル</a:t>
          </a:r>
        </a:p>
      </xdr:txBody>
    </xdr:sp>
    <xdr:clientData/>
  </xdr:twoCellAnchor>
  <xdr:twoCellAnchor>
    <xdr:from>
      <xdr:col>17</xdr:col>
      <xdr:colOff>190500</xdr:colOff>
      <xdr:row>74</xdr:row>
      <xdr:rowOff>0</xdr:rowOff>
    </xdr:from>
    <xdr:to>
      <xdr:col>24</xdr:col>
      <xdr:colOff>57150</xdr:colOff>
      <xdr:row>76</xdr:row>
      <xdr:rowOff>0</xdr:rowOff>
    </xdr:to>
    <xdr:sp macro="" textlink="">
      <xdr:nvSpPr>
        <xdr:cNvPr id="12" name="テキスト ボックス 11"/>
        <xdr:cNvSpPr txBox="1"/>
      </xdr:nvSpPr>
      <xdr:spPr>
        <a:xfrm>
          <a:off x="5067300" y="13096875"/>
          <a:ext cx="2000250" cy="342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kumimoji="1" lang="ja-JP" altLang="en-US" sz="1100" b="1"/>
            <a:t>ログファイル格納先フォルダ</a:t>
          </a:r>
        </a:p>
      </xdr:txBody>
    </xdr:sp>
    <xdr:clientData/>
  </xdr:twoCellAnchor>
  <xdr:twoCellAnchor>
    <xdr:from>
      <xdr:col>20</xdr:col>
      <xdr:colOff>0</xdr:colOff>
      <xdr:row>33</xdr:row>
      <xdr:rowOff>0</xdr:rowOff>
    </xdr:from>
    <xdr:to>
      <xdr:col>39</xdr:col>
      <xdr:colOff>0</xdr:colOff>
      <xdr:row>46</xdr:row>
      <xdr:rowOff>0</xdr:rowOff>
    </xdr:to>
    <xdr:sp macro="" textlink="">
      <xdr:nvSpPr>
        <xdr:cNvPr id="13" name="角丸四角形吹き出し 12"/>
        <xdr:cNvSpPr/>
      </xdr:nvSpPr>
      <xdr:spPr>
        <a:xfrm>
          <a:off x="6096000" y="5724525"/>
          <a:ext cx="5791200" cy="2228850"/>
        </a:xfrm>
        <a:prstGeom prst="wedgeRoundRectCallout">
          <a:avLst>
            <a:gd name="adj1" fmla="val -61294"/>
            <a:gd name="adj2" fmla="val -17984"/>
            <a:gd name="adj3" fmla="val 16667"/>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ex)</a:t>
          </a:r>
          <a:endParaRPr kumimoji="1" lang="ja-JP" altLang="en-US" sz="1100">
            <a:solidFill>
              <a:sysClr val="windowText" lastClr="000000"/>
            </a:solidFill>
          </a:endParaRPr>
        </a:p>
      </xdr:txBody>
    </xdr:sp>
    <xdr:clientData/>
  </xdr:twoCellAnchor>
  <xdr:twoCellAnchor>
    <xdr:from>
      <xdr:col>20</xdr:col>
      <xdr:colOff>0</xdr:colOff>
      <xdr:row>46</xdr:row>
      <xdr:rowOff>85725</xdr:rowOff>
    </xdr:from>
    <xdr:to>
      <xdr:col>39</xdr:col>
      <xdr:colOff>0</xdr:colOff>
      <xdr:row>54</xdr:row>
      <xdr:rowOff>0</xdr:rowOff>
    </xdr:to>
    <xdr:sp macro="" textlink="">
      <xdr:nvSpPr>
        <xdr:cNvPr id="14" name="角丸四角形吹き出し 13"/>
        <xdr:cNvSpPr/>
      </xdr:nvSpPr>
      <xdr:spPr>
        <a:xfrm>
          <a:off x="6096000" y="8039100"/>
          <a:ext cx="5791200" cy="1285875"/>
        </a:xfrm>
        <a:prstGeom prst="wedgeRoundRectCallout">
          <a:avLst>
            <a:gd name="adj1" fmla="val -61294"/>
            <a:gd name="adj2" fmla="val -17984"/>
            <a:gd name="adj3" fmla="val 16667"/>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ex)</a:t>
          </a:r>
          <a:endParaRPr kumimoji="1" lang="ja-JP" altLang="en-US" sz="1100">
            <a:solidFill>
              <a:sysClr val="windowText" lastClr="000000"/>
            </a:solidFill>
          </a:endParaRPr>
        </a:p>
      </xdr:txBody>
    </xdr:sp>
    <xdr:clientData/>
  </xdr:twoCellAnchor>
  <xdr:twoCellAnchor>
    <xdr:from>
      <xdr:col>20</xdr:col>
      <xdr:colOff>0</xdr:colOff>
      <xdr:row>54</xdr:row>
      <xdr:rowOff>95250</xdr:rowOff>
    </xdr:from>
    <xdr:to>
      <xdr:col>39</xdr:col>
      <xdr:colOff>0</xdr:colOff>
      <xdr:row>62</xdr:row>
      <xdr:rowOff>0</xdr:rowOff>
    </xdr:to>
    <xdr:sp macro="" textlink="">
      <xdr:nvSpPr>
        <xdr:cNvPr id="15" name="角丸四角形吹き出し 14"/>
        <xdr:cNvSpPr/>
      </xdr:nvSpPr>
      <xdr:spPr>
        <a:xfrm>
          <a:off x="6096000" y="9420225"/>
          <a:ext cx="5791200" cy="1276350"/>
        </a:xfrm>
        <a:prstGeom prst="wedgeRoundRectCallout">
          <a:avLst>
            <a:gd name="adj1" fmla="val -61294"/>
            <a:gd name="adj2" fmla="val -17984"/>
            <a:gd name="adj3" fmla="val 16667"/>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ex)</a:t>
          </a:r>
          <a:endParaRPr kumimoji="1" lang="ja-JP" altLang="en-US" sz="1100">
            <a:solidFill>
              <a:sysClr val="windowText" lastClr="000000"/>
            </a:solidFill>
          </a:endParaRPr>
        </a:p>
      </xdr:txBody>
    </xdr:sp>
    <xdr:clientData/>
  </xdr:twoCellAnchor>
  <xdr:twoCellAnchor>
    <xdr:from>
      <xdr:col>20</xdr:col>
      <xdr:colOff>0</xdr:colOff>
      <xdr:row>63</xdr:row>
      <xdr:rowOff>85726</xdr:rowOff>
    </xdr:from>
    <xdr:to>
      <xdr:col>39</xdr:col>
      <xdr:colOff>0</xdr:colOff>
      <xdr:row>70</xdr:row>
      <xdr:rowOff>0</xdr:rowOff>
    </xdr:to>
    <xdr:sp macro="" textlink="">
      <xdr:nvSpPr>
        <xdr:cNvPr id="16" name="角丸四角形吹き出し 15"/>
        <xdr:cNvSpPr/>
      </xdr:nvSpPr>
      <xdr:spPr>
        <a:xfrm>
          <a:off x="6096000" y="10953751"/>
          <a:ext cx="5791200" cy="1114424"/>
        </a:xfrm>
        <a:prstGeom prst="wedgeRoundRectCallout">
          <a:avLst>
            <a:gd name="adj1" fmla="val -61294"/>
            <a:gd name="adj2" fmla="val -17984"/>
            <a:gd name="adj3" fmla="val 16667"/>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ex)</a:t>
          </a:r>
          <a:endParaRPr kumimoji="1" lang="ja-JP" altLang="en-US" sz="11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257175</xdr:colOff>
          <xdr:row>9</xdr:row>
          <xdr:rowOff>19050</xdr:rowOff>
        </xdr:from>
        <xdr:to>
          <xdr:col>4</xdr:col>
          <xdr:colOff>1876425</xdr:colOff>
          <xdr:row>12</xdr:row>
          <xdr:rowOff>0</xdr:rowOff>
        </xdr:to>
        <xdr:sp macro="" textlink="">
          <xdr:nvSpPr>
            <xdr:cNvPr id="10250" name="Button 10" hidden="1">
              <a:extLst>
                <a:ext uri="{63B3BB69-23CF-44E3-9099-C40C66FF867C}">
                  <a14:compatExt spid="_x0000_s102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チェック処理＆</a:t>
              </a:r>
            </a:p>
            <a:p>
              <a:pPr algn="ctr" rtl="0">
                <a:defRPr sz="1000"/>
              </a:pPr>
              <a:r>
                <a:rPr lang="ja-JP" altLang="en-US" sz="1100" b="0" i="0" u="none" strike="noStrike" baseline="0">
                  <a:solidFill>
                    <a:srgbClr val="000000"/>
                  </a:solidFill>
                  <a:latin typeface="ＭＳ Ｐゴシック"/>
                  <a:ea typeface="ＭＳ Ｐゴシック"/>
                </a:rPr>
                <a:t>コミット実行！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5</xdr:row>
          <xdr:rowOff>0</xdr:rowOff>
        </xdr:from>
        <xdr:to>
          <xdr:col>30</xdr:col>
          <xdr:colOff>0</xdr:colOff>
          <xdr:row>6</xdr:row>
          <xdr:rowOff>0</xdr:rowOff>
        </xdr:to>
        <xdr:sp macro="" textlink="">
          <xdr:nvSpPr>
            <xdr:cNvPr id="10259" name="Button 19" hidden="1">
              <a:extLst>
                <a:ext uri="{63B3BB69-23CF-44E3-9099-C40C66FF867C}">
                  <a14:compatExt spid="_x0000_s102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6</xdr:row>
          <xdr:rowOff>0</xdr:rowOff>
        </xdr:from>
        <xdr:to>
          <xdr:col>30</xdr:col>
          <xdr:colOff>0</xdr:colOff>
          <xdr:row>7</xdr:row>
          <xdr:rowOff>0</xdr:rowOff>
        </xdr:to>
        <xdr:sp macro="" textlink="">
          <xdr:nvSpPr>
            <xdr:cNvPr id="10260" name="Button 20" hidden="1">
              <a:extLst>
                <a:ext uri="{63B3BB69-23CF-44E3-9099-C40C66FF867C}">
                  <a14:compatExt spid="_x0000_s102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xdr:row>
          <xdr:rowOff>0</xdr:rowOff>
        </xdr:from>
        <xdr:to>
          <xdr:col>15</xdr:col>
          <xdr:colOff>0</xdr:colOff>
          <xdr:row>16</xdr:row>
          <xdr:rowOff>0</xdr:rowOff>
        </xdr:to>
        <xdr:sp macro="" textlink="">
          <xdr:nvSpPr>
            <xdr:cNvPr id="10277" name="Button 37" hidden="1">
              <a:extLst>
                <a:ext uri="{63B3BB69-23CF-44E3-9099-C40C66FF867C}">
                  <a14:compatExt spid="_x0000_s102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試験結果欄</a:t>
              </a:r>
            </a:p>
            <a:p>
              <a:pPr algn="ctr" rtl="0">
                <a:defRPr sz="1000"/>
              </a:pPr>
              <a:r>
                <a:rPr lang="ja-JP" altLang="en-US" sz="1100" b="0" i="0" u="none" strike="noStrike" baseline="0">
                  <a:solidFill>
                    <a:srgbClr val="000000"/>
                  </a:solidFill>
                  <a:latin typeface="ＭＳ Ｐゴシック"/>
                  <a:ea typeface="ＭＳ Ｐゴシック"/>
                </a:rPr>
                <a:t>書き込み実行！</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ffer/100_Work/%23Knowledge%2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AN&#12525;&#12464;&#12487;&#12540;&#12479;&#12464;&#12521;&#12501;&#21270;&#12484;&#12540;&#125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用語集"/>
      <sheetName val="PTM"/>
      <sheetName val="C言語"/>
      <sheetName val="基礎知識"/>
      <sheetName val="トラブルシューティング"/>
      <sheetName val="日本語"/>
      <sheetName val="data"/>
      <sheetName val="ビットオーダー＆バイトオーダー"/>
      <sheetName val="PTM（FailPassStatusロジック補足）"/>
      <sheetName val="AD電圧種別整理（二次プロト）"/>
      <sheetName val="DFD_Wrapper"/>
      <sheetName val="Rte_Wrapper データ構造"/>
      <sheetName val="CANデータ仕様"/>
      <sheetName val="レゾリューション変換"/>
      <sheetName val="Sheet1"/>
      <sheetName val="POnOffSeq簡易"/>
      <sheetName val="診断異常"/>
      <sheetName val="入出力信号_r112"/>
      <sheetName val="Local_r87"/>
      <sheetName val="Vehicle_r2"/>
      <sheetName val="fail_status bit"/>
    </sheetNames>
    <sheetDataSet>
      <sheetData sheetId="0" refreshError="1"/>
      <sheetData sheetId="1" refreshError="1"/>
      <sheetData sheetId="2" refreshError="1"/>
      <sheetData sheetId="3" refreshError="1"/>
      <sheetData sheetId="4" refreshError="1"/>
      <sheetData sheetId="5" refreshError="1"/>
      <sheetData sheetId="6">
        <row r="4">
          <cell r="C4" t="str">
            <v>プロジェクト固有</v>
          </cell>
        </row>
        <row r="5">
          <cell r="C5" t="str">
            <v>英単語</v>
          </cell>
        </row>
        <row r="6">
          <cell r="C6" t="str">
            <v>一般 - IT</v>
          </cell>
        </row>
        <row r="7">
          <cell r="C7" t="str">
            <v>一般 - ツール</v>
          </cell>
        </row>
        <row r="8">
          <cell r="C8" t="str">
            <v>一般 - 車載SW</v>
          </cell>
        </row>
        <row r="9">
          <cell r="C9" t="str">
            <v>一般 - 車両</v>
          </cell>
        </row>
        <row r="10">
          <cell r="C10" t="str">
            <v>一般 - 電気回路</v>
          </cell>
        </row>
        <row r="11">
          <cell r="C11" t="str">
            <v>その他</v>
          </cell>
        </row>
        <row r="12">
          <cell r="C12" t="str">
            <v>?</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概要"/>
      <sheetName val="送受信値グラフ（メッセージ単位）"/>
      <sheetName val="送受信値グラフ（シグナル単位）"/>
      <sheetName val="送受信周期ふらつき"/>
      <sheetName val="エラーカウンタ"/>
      <sheetName val="診断異常"/>
      <sheetName val="入力データ"/>
      <sheetName val="メッセージ・シグナル一覧"/>
      <sheetName val="診断一覧"/>
      <sheetName val="リリースノート"/>
      <sheetName val="CANDBフォーマット"/>
      <sheetName val="モジュールリスト"/>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
          <cell r="D3" t="str">
            <v>メッセージ名</v>
          </cell>
          <cell r="K3" t="str">
            <v>シグナル名</v>
          </cell>
        </row>
        <row r="4">
          <cell r="D4" t="str">
            <v>DTC_HISTORY</v>
          </cell>
          <cell r="K4" t="str">
            <v>Diagnosis_History_4</v>
          </cell>
        </row>
        <row r="5">
          <cell r="D5" t="str">
            <v>REMOTE_COMMAND</v>
          </cell>
          <cell r="K5" t="str">
            <v>Diagnosis_History_3</v>
          </cell>
        </row>
        <row r="6">
          <cell r="D6" t="str">
            <v>DTC</v>
          </cell>
          <cell r="K6" t="str">
            <v>Diagnosis_History_2</v>
          </cell>
        </row>
        <row r="7">
          <cell r="D7" t="str">
            <v>BCU_DI7</v>
          </cell>
          <cell r="K7" t="str">
            <v>Diagnosis_History_1</v>
          </cell>
        </row>
        <row r="8">
          <cell r="D8" t="str">
            <v>BCU_DI6</v>
          </cell>
          <cell r="K8" t="str">
            <v>Extended_Code</v>
          </cell>
        </row>
        <row r="9">
          <cell r="D9" t="str">
            <v>BCU_DI5</v>
          </cell>
          <cell r="K9" t="str">
            <v>Diagnosis_Code_4</v>
          </cell>
        </row>
        <row r="10">
          <cell r="D10" t="str">
            <v>BCU_DI4</v>
          </cell>
          <cell r="K10" t="str">
            <v>Diagnosis_Code_3</v>
          </cell>
        </row>
        <row r="11">
          <cell r="D11" t="str">
            <v>BCU_DI3</v>
          </cell>
          <cell r="K11" t="str">
            <v>Diagnosis_Code_2</v>
          </cell>
        </row>
        <row r="12">
          <cell r="D12" t="str">
            <v>BCU_DI2</v>
          </cell>
          <cell r="K12" t="str">
            <v>Diagnosis_Code_1</v>
          </cell>
        </row>
        <row r="13">
          <cell r="D13" t="str">
            <v>BCU_DI1</v>
          </cell>
          <cell r="K13" t="str">
            <v>Bcu_Mainte_Dat</v>
          </cell>
        </row>
        <row r="14">
          <cell r="D14" t="str">
            <v>BCU_BS2</v>
          </cell>
          <cell r="K14" t="str">
            <v>Bcu_Mainte_Dat</v>
          </cell>
        </row>
        <row r="15">
          <cell r="D15" t="str">
            <v>BCU_BS1</v>
          </cell>
          <cell r="K15" t="str">
            <v>Bcu_Ver</v>
          </cell>
        </row>
        <row r="16">
          <cell r="D16" t="str">
            <v>BCU_CS</v>
          </cell>
          <cell r="K16" t="str">
            <v>Pack_Temp</v>
          </cell>
        </row>
        <row r="17">
          <cell r="D17" t="str">
            <v>DDC_DI5</v>
          </cell>
          <cell r="K17" t="str">
            <v>Bat5_Temp</v>
          </cell>
        </row>
        <row r="18">
          <cell r="D18" t="str">
            <v>DDC_DI4</v>
          </cell>
          <cell r="K18" t="str">
            <v>Bat4_Temp</v>
          </cell>
        </row>
        <row r="19">
          <cell r="D19" t="str">
            <v>DDC_DI3</v>
          </cell>
          <cell r="K19" t="str">
            <v>Bat3_Temp</v>
          </cell>
        </row>
        <row r="20">
          <cell r="D20" t="str">
            <v>DDC_DI2</v>
          </cell>
          <cell r="K20" t="str">
            <v>Bat2_Temp</v>
          </cell>
        </row>
        <row r="21">
          <cell r="D21" t="str">
            <v>DDC_DI1</v>
          </cell>
          <cell r="K21" t="str">
            <v>Bat1_Temp</v>
          </cell>
        </row>
        <row r="22">
          <cell r="D22" t="str">
            <v>DDC_CCS</v>
          </cell>
          <cell r="K22" t="str">
            <v>Cell3_SOC</v>
          </cell>
        </row>
        <row r="23">
          <cell r="D23" t="str">
            <v>MCU_DI7</v>
          </cell>
          <cell r="K23" t="str">
            <v>Cell2_SOC</v>
          </cell>
        </row>
        <row r="24">
          <cell r="D24" t="str">
            <v>MCU_DI5</v>
          </cell>
          <cell r="K24" t="str">
            <v>Cell1_SOC</v>
          </cell>
        </row>
        <row r="25">
          <cell r="D25" t="str">
            <v>MCU_DI6</v>
          </cell>
          <cell r="K25" t="str">
            <v>Trs_Num</v>
          </cell>
        </row>
        <row r="26">
          <cell r="D26" t="str">
            <v>MCU_DI4</v>
          </cell>
          <cell r="K26" t="str">
            <v>Cell3_Volt</v>
          </cell>
        </row>
        <row r="27">
          <cell r="D27" t="str">
            <v>MCU_DI3</v>
          </cell>
          <cell r="K27" t="str">
            <v>Cell2_Volt</v>
          </cell>
        </row>
        <row r="28">
          <cell r="D28" t="str">
            <v>MCU_DI2</v>
          </cell>
          <cell r="K28" t="str">
            <v>Cell1_Volt</v>
          </cell>
        </row>
        <row r="29">
          <cell r="D29" t="str">
            <v>MCU_DI1</v>
          </cell>
          <cell r="K29" t="str">
            <v>Trs_Num</v>
          </cell>
        </row>
        <row r="30">
          <cell r="D30" t="str">
            <v>MCU_MCS2</v>
          </cell>
          <cell r="K30" t="str">
            <v>Volt_Sens_Harns_Disc_Err</v>
          </cell>
        </row>
        <row r="31">
          <cell r="D31" t="str">
            <v>MCU_MCS1</v>
          </cell>
          <cell r="K31" t="str">
            <v>Volt_Sens_Volt_Measmt_Err</v>
          </cell>
        </row>
        <row r="32">
          <cell r="D32" t="str">
            <v>HCU_CDIR</v>
          </cell>
          <cell r="K32" t="str">
            <v>Cur_Sens_Volt_Err</v>
          </cell>
        </row>
        <row r="33">
          <cell r="D33" t="str">
            <v>HEV_Sys_Info</v>
          </cell>
          <cell r="K33" t="str">
            <v>Cur_Sens_Lo_Err</v>
          </cell>
        </row>
        <row r="34">
          <cell r="D34" t="str">
            <v>HCU_HSR</v>
          </cell>
          <cell r="K34" t="str">
            <v>Cur_Sens_Hi_Err</v>
          </cell>
        </row>
        <row r="35">
          <cell r="D35" t="str">
            <v>HCU_MCR</v>
          </cell>
          <cell r="K35" t="str">
            <v>Temp_Sens_Char_Err</v>
          </cell>
        </row>
        <row r="36">
          <cell r="D36" t="str">
            <v>PPEI_EGS4</v>
          </cell>
          <cell r="K36" t="str">
            <v>Temp_Sens_Lo_Err</v>
          </cell>
        </row>
        <row r="37">
          <cell r="D37" t="str">
            <v>PPEI_VSD</v>
          </cell>
          <cell r="K37" t="str">
            <v>Temp_Sens_Hi_Err</v>
          </cell>
        </row>
        <row r="38">
          <cell r="D38" t="str">
            <v>PGS1</v>
          </cell>
          <cell r="K38" t="str">
            <v>Msg_Rcv_Err_Local_Can_Id120</v>
          </cell>
        </row>
        <row r="39">
          <cell r="D39" t="str">
            <v>EGS4</v>
          </cell>
          <cell r="K39" t="str">
            <v>Msg_Rcv_Err_Local_Can_Id130</v>
          </cell>
        </row>
        <row r="40">
          <cell r="D40" t="str">
            <v>EGS3</v>
          </cell>
          <cell r="K40" t="str">
            <v>Msg_Rcv_Err_Local_Can_Id140</v>
          </cell>
        </row>
        <row r="41">
          <cell r="D41" t="str">
            <v>PPEI_CGS2</v>
          </cell>
          <cell r="K41" t="str">
            <v>Over_Limit_Current_Err</v>
          </cell>
        </row>
        <row r="42">
          <cell r="D42" t="str">
            <v>ECM_STT_CON</v>
          </cell>
          <cell r="K42" t="str">
            <v>Over_Current_Err</v>
          </cell>
        </row>
        <row r="43">
          <cell r="D43" t="str">
            <v>PPEI_TGS2</v>
          </cell>
          <cell r="K43" t="str">
            <v>Bcu_Pwr_Volt_Descent_Err</v>
          </cell>
        </row>
        <row r="44">
          <cell r="D44" t="str">
            <v>PPEI_CGS1</v>
          </cell>
          <cell r="K44" t="str">
            <v>Main_Cont_N_or_Pre_Weld_Err</v>
          </cell>
        </row>
        <row r="45">
          <cell r="D45" t="str">
            <v>PPEI_SWA</v>
          </cell>
          <cell r="K45" t="str">
            <v>Main_Cont_P_Weld_Err</v>
          </cell>
        </row>
        <row r="46">
          <cell r="D46" t="str">
            <v>PPEI_ETS1</v>
          </cell>
          <cell r="K46" t="str">
            <v>Cont_P_And_N_Weld_Err</v>
          </cell>
        </row>
        <row r="47">
          <cell r="D47" t="str">
            <v>PTEI_ETS</v>
          </cell>
          <cell r="K47" t="str">
            <v>Hcu_Alive_Data_Err</v>
          </cell>
        </row>
        <row r="48">
          <cell r="D48" t="str">
            <v>VSP</v>
          </cell>
          <cell r="K48" t="str">
            <v>AD_Ref_Err</v>
          </cell>
        </row>
        <row r="49">
          <cell r="D49" t="str">
            <v>PPEI_EGS1</v>
          </cell>
          <cell r="K49" t="str">
            <v>EEPROM_Err</v>
          </cell>
        </row>
        <row r="50">
          <cell r="D50" t="str">
            <v>ISSI</v>
          </cell>
          <cell r="K50" t="str">
            <v>Bat_Temp_Rise_Err</v>
          </cell>
        </row>
        <row r="51">
          <cell r="D51" t="str">
            <v>ISR</v>
          </cell>
          <cell r="K51" t="str">
            <v>High_Volt_Measmt_Err</v>
          </cell>
        </row>
        <row r="52">
          <cell r="D52" t="str">
            <v>ESB_GS</v>
          </cell>
          <cell r="K52" t="str">
            <v>Cell_Volt_Diff_Err</v>
          </cell>
        </row>
        <row r="53">
          <cell r="D53" t="str">
            <v>HMGS</v>
          </cell>
          <cell r="K53" t="str">
            <v>Cell_Volt_Descent_Err</v>
          </cell>
        </row>
        <row r="54">
          <cell r="D54" t="str">
            <v>HCR</v>
          </cell>
          <cell r="K54" t="str">
            <v>Cell_Volt_Rise_Err</v>
          </cell>
        </row>
        <row r="55">
          <cell r="K55" t="str">
            <v>Batt_Min_Cell_Volt</v>
          </cell>
        </row>
        <row r="56">
          <cell r="K56" t="str">
            <v>Batt_Max_Cell_Volt</v>
          </cell>
        </row>
        <row r="57">
          <cell r="K57" t="str">
            <v>Batt_Min_Cell_Temp</v>
          </cell>
        </row>
        <row r="58">
          <cell r="K58" t="str">
            <v>Batt_Max_Cell_Temp</v>
          </cell>
        </row>
        <row r="59">
          <cell r="K59" t="str">
            <v>Short_Term_Chrg_Lmt_Cur</v>
          </cell>
        </row>
        <row r="60">
          <cell r="K60" t="str">
            <v>Long_Term_Dischrg_Lmt_Curr</v>
          </cell>
        </row>
        <row r="61">
          <cell r="K61" t="str">
            <v>Long_Term_Chrg_Lmt_Curr</v>
          </cell>
        </row>
        <row r="62">
          <cell r="K62" t="str">
            <v>Short_Term_Dischrg_Lmt_Curr</v>
          </cell>
        </row>
        <row r="63">
          <cell r="K63" t="str">
            <v>Batt_Min_Soc</v>
          </cell>
        </row>
        <row r="64">
          <cell r="K64" t="str">
            <v>Batt_Max_Soc</v>
          </cell>
        </row>
        <row r="65">
          <cell r="K65" t="str">
            <v>Batt_Total_Cell_Volt</v>
          </cell>
        </row>
        <row r="66">
          <cell r="K66" t="str">
            <v>Batt_Curr</v>
          </cell>
        </row>
        <row r="67">
          <cell r="K67" t="str">
            <v>Bcu_Batt_Soh_Dcr</v>
          </cell>
        </row>
        <row r="68">
          <cell r="K68" t="str">
            <v>Batt_Soh_Capa</v>
          </cell>
        </row>
        <row r="69">
          <cell r="K69" t="str">
            <v>Batt_Soc</v>
          </cell>
        </row>
        <row r="70">
          <cell r="K70" t="str">
            <v>Bcu_Alv_Rol_Cnt</v>
          </cell>
        </row>
        <row r="71">
          <cell r="K71" t="str">
            <v>Bcu_Ctrl_Actv</v>
          </cell>
        </row>
        <row r="72">
          <cell r="K72" t="str">
            <v>Bcu_Finalize_Complete</v>
          </cell>
        </row>
        <row r="73">
          <cell r="K73" t="str">
            <v>Bcu_Intialize_Complete</v>
          </cell>
        </row>
        <row r="74">
          <cell r="K74" t="str">
            <v>HEV_48_Volt_Batt_Rly_Actv</v>
          </cell>
        </row>
        <row r="75">
          <cell r="K75" t="str">
            <v>Bcu_Fail_Lvl</v>
          </cell>
        </row>
        <row r="76">
          <cell r="K76" t="str">
            <v>Ddc_Mainte_Dat</v>
          </cell>
        </row>
        <row r="77">
          <cell r="K77" t="str">
            <v>Ddc_Mainte_Dat</v>
          </cell>
        </row>
        <row r="78">
          <cell r="K78" t="str">
            <v>Ddc_Mainte_Dat</v>
          </cell>
        </row>
        <row r="79">
          <cell r="K79" t="str">
            <v>Ddc_Mainte_Dat</v>
          </cell>
        </row>
        <row r="80">
          <cell r="K80" t="str">
            <v>DDC_Ver</v>
          </cell>
        </row>
        <row r="81">
          <cell r="K81" t="str">
            <v>MC_AD_Err</v>
          </cell>
        </row>
        <row r="82">
          <cell r="K82" t="str">
            <v>Second_Low_Warn</v>
          </cell>
        </row>
        <row r="83">
          <cell r="K83" t="str">
            <v>Hcu_Alive_Count_Err</v>
          </cell>
        </row>
        <row r="84">
          <cell r="K84" t="str">
            <v>Primary_Over_Low_Volt</v>
          </cell>
        </row>
        <row r="85">
          <cell r="K85" t="str">
            <v>Second_Over_Volt</v>
          </cell>
        </row>
        <row r="86">
          <cell r="K86" t="str">
            <v>Second_Low_Volt</v>
          </cell>
        </row>
        <row r="87">
          <cell r="K87" t="str">
            <v>Over_Current</v>
          </cell>
        </row>
        <row r="88">
          <cell r="K88" t="str">
            <v>Over_Heat</v>
          </cell>
        </row>
        <row r="89">
          <cell r="K89" t="str">
            <v>Internal_Pow_Supply_Err</v>
          </cell>
        </row>
        <row r="90">
          <cell r="K90" t="str">
            <v>Over_Heat_Circuit_Err</v>
          </cell>
        </row>
        <row r="91">
          <cell r="K91" t="str">
            <v>CAN_Comm_Err</v>
          </cell>
        </row>
        <row r="92">
          <cell r="K92" t="str">
            <v>Step_Down_Sts_Dbg</v>
          </cell>
        </row>
        <row r="93">
          <cell r="K93" t="str">
            <v>Mal_Sts</v>
          </cell>
        </row>
        <row r="94">
          <cell r="K94" t="str">
            <v>FAN_Drv_Sts</v>
          </cell>
        </row>
        <row r="95">
          <cell r="K95" t="str">
            <v>Ddc_Secnd_Curr</v>
          </cell>
        </row>
        <row r="96">
          <cell r="K96" t="str">
            <v>Ddc_Alv_Rol_Cnt</v>
          </cell>
        </row>
        <row r="97">
          <cell r="K97" t="str">
            <v>Ddc_Secnd_Volt</v>
          </cell>
        </row>
        <row r="98">
          <cell r="K98" t="str">
            <v>Ddc_Prim_Curr</v>
          </cell>
        </row>
        <row r="99">
          <cell r="K99" t="str">
            <v>Bat_Cool_Fan_Drv_Req</v>
          </cell>
        </row>
        <row r="100">
          <cell r="K100" t="str">
            <v>Ddc_Step_Down_Actv</v>
          </cell>
        </row>
        <row r="101">
          <cell r="K101" t="str">
            <v>Ddc_Acg_Mode_Stat</v>
          </cell>
        </row>
        <row r="102">
          <cell r="K102" t="str">
            <v>Ddc_Fail_Lvl</v>
          </cell>
        </row>
        <row r="103">
          <cell r="K103" t="str">
            <v>Ddc_Ctrl_Actv</v>
          </cell>
        </row>
        <row r="104">
          <cell r="K104" t="str">
            <v>Ddc_Intialize_Complete</v>
          </cell>
        </row>
        <row r="105">
          <cell r="K105" t="str">
            <v>Ddc_Finalize_Complete</v>
          </cell>
        </row>
        <row r="106">
          <cell r="K106" t="str">
            <v>Mcu_Mainte_Dat</v>
          </cell>
        </row>
        <row r="107">
          <cell r="K107" t="str">
            <v>Mcu_Mainte_Dat</v>
          </cell>
        </row>
        <row r="108">
          <cell r="K108" t="str">
            <v>Mcu_Mainte_Dat</v>
          </cell>
        </row>
        <row r="109">
          <cell r="K109" t="str">
            <v>Mcu_Mainte_Dat</v>
          </cell>
        </row>
        <row r="110">
          <cell r="K110" t="str">
            <v>Reg_Fail_Safe_Lmt_Mg_Trq</v>
          </cell>
        </row>
        <row r="111">
          <cell r="K111" t="str">
            <v>Reg_Temp_Lmt_Mg_Trq</v>
          </cell>
        </row>
        <row r="112">
          <cell r="K112" t="str">
            <v>Reg_Tn_Lmt_Mg_Trq</v>
          </cell>
        </row>
        <row r="113">
          <cell r="K113" t="str">
            <v>Mcu_Ver</v>
          </cell>
        </row>
        <row r="114">
          <cell r="K114" t="str">
            <v>Ast_Fail_Safe_Lmt_Mg_Trq</v>
          </cell>
        </row>
        <row r="115">
          <cell r="K115" t="str">
            <v>Ast_Temp_Lmt_Mg_Trq</v>
          </cell>
        </row>
        <row r="116">
          <cell r="K116" t="str">
            <v>Ast_Tn_Lmt_Mg_Trq</v>
          </cell>
        </row>
        <row r="117">
          <cell r="K117" t="str">
            <v>Inv_MOSFET_Fail_stat</v>
          </cell>
        </row>
        <row r="118">
          <cell r="K118" t="str">
            <v>MCU_Fail_stat</v>
          </cell>
        </row>
        <row r="119">
          <cell r="K119" t="str">
            <v>MG_Coil_Temp</v>
          </cell>
        </row>
        <row r="120">
          <cell r="K120" t="str">
            <v>Inv_MOSFET_Junc_Temp</v>
          </cell>
        </row>
        <row r="121">
          <cell r="K121" t="str">
            <v>Reg_Lmt_Mg_Trq</v>
          </cell>
        </row>
        <row r="122">
          <cell r="K122" t="str">
            <v>Ast_Lmt_Mg_Trq</v>
          </cell>
        </row>
        <row r="123">
          <cell r="K123" t="str">
            <v>Inv_Dc_Volt</v>
          </cell>
        </row>
        <row r="124">
          <cell r="K124" t="str">
            <v>Servo_Off_Actv</v>
          </cell>
        </row>
        <row r="125">
          <cell r="K125" t="str">
            <v>Mcu_Ctrl_Mode</v>
          </cell>
        </row>
        <row r="126">
          <cell r="K126" t="str">
            <v>Actv_Dischrg_Stat</v>
          </cell>
        </row>
        <row r="127">
          <cell r="K127" t="str">
            <v>Mcu_Acg_Mode_Stat</v>
          </cell>
        </row>
        <row r="128">
          <cell r="K128" t="str">
            <v>Act_Mg_Spd</v>
          </cell>
        </row>
        <row r="129">
          <cell r="K129" t="str">
            <v>Act_Mg_Trq</v>
          </cell>
        </row>
        <row r="130">
          <cell r="K130" t="str">
            <v>Mcu_Alv_Rol_Cnt</v>
          </cell>
        </row>
        <row r="131">
          <cell r="K131" t="str">
            <v>Mcu_Fail_Lvl</v>
          </cell>
        </row>
        <row r="132">
          <cell r="K132" t="str">
            <v>Mcu_Ctrl_Actv</v>
          </cell>
        </row>
        <row r="133">
          <cell r="K133" t="str">
            <v>Mcu_Intialize_Complete</v>
          </cell>
        </row>
        <row r="134">
          <cell r="K134" t="str">
            <v>Mcu_Finalize_Complete</v>
          </cell>
        </row>
        <row r="135">
          <cell r="K135" t="str">
            <v>Diag_Info_Clr_Req</v>
          </cell>
        </row>
        <row r="136">
          <cell r="K136" t="str">
            <v>Hev_Sys_Err_Ind</v>
          </cell>
        </row>
        <row r="137">
          <cell r="K137" t="str">
            <v>Ddc_Secnd_Volt_Req</v>
          </cell>
        </row>
        <row r="138">
          <cell r="K138" t="str">
            <v>Hcu_Alv_Rol_Cnt</v>
          </cell>
        </row>
        <row r="139">
          <cell r="K139" t="str">
            <v>Bcu_Ctrl_Req</v>
          </cell>
        </row>
        <row r="140">
          <cell r="K140" t="str">
            <v>Hev_Sys_Actv</v>
          </cell>
        </row>
        <row r="141">
          <cell r="K141" t="str">
            <v>Actv_Dischrg_Req</v>
          </cell>
        </row>
        <row r="142">
          <cell r="K142" t="str">
            <v>Mcu_Ctrl_Req</v>
          </cell>
        </row>
        <row r="143">
          <cell r="K143" t="str">
            <v>Ddc_Step_Down_Req</v>
          </cell>
        </row>
        <row r="144">
          <cell r="K144" t="str">
            <v>HEV_48_Volt_Batt_Rly_Req</v>
          </cell>
        </row>
        <row r="145">
          <cell r="K145" t="str">
            <v>ACG_Mode_Req</v>
          </cell>
        </row>
        <row r="146">
          <cell r="K146" t="str">
            <v>Ddc_Ctrl_Req</v>
          </cell>
        </row>
        <row r="147">
          <cell r="K147" t="str">
            <v>Bat_Curr_AReg_Lmt_Trq</v>
          </cell>
        </row>
        <row r="148">
          <cell r="K148" t="str">
            <v>Servo_Off_Req</v>
          </cell>
        </row>
        <row r="149">
          <cell r="K149" t="str">
            <v>Req_Mcu_Ctrl_Mode</v>
          </cell>
        </row>
        <row r="150">
          <cell r="K150" t="str">
            <v>Req_Mg_Spd</v>
          </cell>
        </row>
        <row r="151">
          <cell r="K151" t="str">
            <v>Req_Mg_Trq</v>
          </cell>
        </row>
        <row r="152">
          <cell r="K152" t="str">
            <v>Bat_Curr_Ast_Lmt_Trq</v>
          </cell>
        </row>
        <row r="153">
          <cell r="K153" t="str">
            <v>Egn_Cool_Temp</v>
          </cell>
        </row>
        <row r="154">
          <cell r="K154" t="str">
            <v>Vcl_Speed_Ave_Drv</v>
          </cell>
        </row>
        <row r="155">
          <cell r="K155" t="str">
            <v>AT_AC_Blow_SW_Stat</v>
          </cell>
        </row>
        <row r="156">
          <cell r="K156" t="str">
            <v>IS_Enable</v>
          </cell>
        </row>
        <row r="157">
          <cell r="K157" t="str">
            <v>Fnl_Tgt_Fuel_Q</v>
          </cell>
        </row>
        <row r="158">
          <cell r="K158" t="str">
            <v>Nomnl_Fric_Pcet_Trq</v>
          </cell>
        </row>
        <row r="159">
          <cell r="K159" t="str">
            <v>Drv_Dmd_Eng_Pcnt_Trq</v>
          </cell>
        </row>
        <row r="160">
          <cell r="K160" t="str">
            <v>Actual_Eng_Pcnt_Trq</v>
          </cell>
        </row>
        <row r="161">
          <cell r="K161" t="str">
            <v>Road_Slope</v>
          </cell>
        </row>
        <row r="162">
          <cell r="K162" t="str">
            <v>Stt_Cut_Req</v>
          </cell>
        </row>
        <row r="163">
          <cell r="K163" t="str">
            <v>TM_Eng_Stop_Allow</v>
          </cell>
        </row>
        <row r="164">
          <cell r="K164" t="str">
            <v>TM_Eng_Stop_Enb</v>
          </cell>
        </row>
        <row r="165">
          <cell r="K165" t="str">
            <v>TM_Shft_Lever_Posi</v>
          </cell>
        </row>
        <row r="166">
          <cell r="K166" t="str">
            <v>Drv_Shft_Cnt_Tgt_Gear</v>
          </cell>
        </row>
        <row r="167">
          <cell r="K167" t="str">
            <v>Drv_Shft_Cnt_Act</v>
          </cell>
        </row>
        <row r="168">
          <cell r="K168" t="str">
            <v>AT_Cmd_Gear</v>
          </cell>
        </row>
        <row r="169">
          <cell r="K169" t="str">
            <v>AT_Gear_Shft_Dirct</v>
          </cell>
        </row>
        <row r="170">
          <cell r="K170" t="str">
            <v>TM_Estmt_Gear</v>
          </cell>
        </row>
        <row r="171">
          <cell r="K171" t="str">
            <v>TM_Trq_Cnvt_Clth_Cmd_Mod</v>
          </cell>
        </row>
        <row r="172">
          <cell r="K172" t="str">
            <v>Drv_Indpd_Brk_Aply_Act</v>
          </cell>
        </row>
        <row r="173">
          <cell r="K173" t="str">
            <v>VDC_Stat</v>
          </cell>
        </row>
        <row r="174">
          <cell r="K174" t="str">
            <v>TCS_Act</v>
          </cell>
        </row>
        <row r="175">
          <cell r="K175" t="str">
            <v>ABS_Act</v>
          </cell>
        </row>
        <row r="176">
          <cell r="K176" t="str">
            <v>Ster_Whel_Angl</v>
          </cell>
        </row>
        <row r="177">
          <cell r="K177" t="str">
            <v>Egn_Trq_Drv_Req_Extd_Rng</v>
          </cell>
        </row>
        <row r="178">
          <cell r="K178" t="str">
            <v>Accel_Effect_Posi</v>
          </cell>
        </row>
        <row r="179">
          <cell r="K179" t="str">
            <v>Eng_Actul_Std_Stat_Trq</v>
          </cell>
        </row>
        <row r="180">
          <cell r="K180" t="str">
            <v>Eng_Food</v>
          </cell>
        </row>
        <row r="181">
          <cell r="K181" t="str">
            <v>Door</v>
          </cell>
        </row>
        <row r="182">
          <cell r="K182" t="str">
            <v>Drv_Seat_Blt</v>
          </cell>
        </row>
        <row r="183">
          <cell r="K183" t="str">
            <v>Park_Brake_SW_Act</v>
          </cell>
        </row>
        <row r="184">
          <cell r="K184" t="str">
            <v>PT_Brk_Pdl_Dsc_Inpt_Stat</v>
          </cell>
        </row>
        <row r="185">
          <cell r="K185" t="str">
            <v>Accel_Actual_Posi</v>
          </cell>
        </row>
        <row r="186">
          <cell r="K186" t="str">
            <v>Cruise_Cont_Enable</v>
          </cell>
        </row>
        <row r="187">
          <cell r="K187" t="str">
            <v>Cruise_Cont_Active</v>
          </cell>
        </row>
        <row r="188">
          <cell r="K188" t="str">
            <v>Eng_Speed</v>
          </cell>
        </row>
        <row r="189">
          <cell r="K189" t="str">
            <v>Eng_Run_Active</v>
          </cell>
        </row>
        <row r="190">
          <cell r="K190" t="str">
            <v>ISS_Buzzer</v>
          </cell>
        </row>
        <row r="191">
          <cell r="K191" t="str">
            <v>OFF_Lamp_Req</v>
          </cell>
        </row>
        <row r="192">
          <cell r="K192" t="str">
            <v>Main_Lamp_Req</v>
          </cell>
        </row>
        <row r="193">
          <cell r="K193" t="str">
            <v>ISS_Status</v>
          </cell>
        </row>
        <row r="194">
          <cell r="K194" t="str">
            <v>Brake_Hold_Req</v>
          </cell>
        </row>
        <row r="195">
          <cell r="K195" t="str">
            <v>Engine_Stop_Req</v>
          </cell>
        </row>
        <row r="196">
          <cell r="K196" t="str">
            <v>Brk_Pdl_Strk_Sens_Volt_Valid</v>
          </cell>
        </row>
        <row r="197">
          <cell r="K197" t="str">
            <v>Brk_Pdl_Strk_Sens_Volt</v>
          </cell>
        </row>
        <row r="198">
          <cell r="K198" t="str">
            <v>Secnd_Brk_Pres</v>
          </cell>
        </row>
        <row r="199">
          <cell r="K199" t="str">
            <v>Prim_Brk_Pres</v>
          </cell>
        </row>
        <row r="200">
          <cell r="K200" t="str">
            <v>Req_Reg_Mot_Trq_On_RrAxle</v>
          </cell>
        </row>
        <row r="201">
          <cell r="K201" t="str">
            <v>Coast_Reg_Mot_Trq_On_RrAxle</v>
          </cell>
        </row>
        <row r="202">
          <cell r="K202" t="str">
            <v>Lmt_Reg_Mot_Trq_On_RrAxle</v>
          </cell>
        </row>
        <row r="203">
          <cell r="K203" t="str">
            <v>Mot_Gen_Act_Trq</v>
          </cell>
        </row>
        <row r="204">
          <cell r="K204" t="str">
            <v>Act_Reg_Mot_Trq_On_RrAxle</v>
          </cell>
        </row>
        <row r="205">
          <cell r="K205" t="str">
            <v>Req_Eng_Idle_Spd</v>
          </cell>
        </row>
        <row r="206">
          <cell r="K206" t="str">
            <v>Eng_Idle_Up_Req</v>
          </cell>
        </row>
        <row r="207">
          <cell r="K207" t="str">
            <v>Req_Eng_Trq</v>
          </cell>
        </row>
        <row r="208">
          <cell r="K208" t="str">
            <v>Eng_Trq_Req_Typ</v>
          </cell>
        </row>
        <row r="209">
          <cell r="K209" t="str">
            <v>Hev_Alv_Rol_Cnt</v>
          </cell>
        </row>
        <row r="210">
          <cell r="K210" t="str">
            <v>can_bms3_balance_456_req_data6</v>
          </cell>
        </row>
        <row r="211">
          <cell r="K211" t="str">
            <v>can_bms3_balance_456_req_data5</v>
          </cell>
        </row>
        <row r="212">
          <cell r="K212" t="str">
            <v>can_bms3_balance_456_req_data4</v>
          </cell>
        </row>
        <row r="213">
          <cell r="K213" t="str">
            <v>can_bms3_balance_456_req_data3</v>
          </cell>
        </row>
        <row r="214">
          <cell r="K214" t="str">
            <v>can_bms3_balance_456_req_data2</v>
          </cell>
        </row>
        <row r="215">
          <cell r="K215" t="str">
            <v>can_bms3_balance_456_req_data1</v>
          </cell>
        </row>
        <row r="216">
          <cell r="K216" t="str">
            <v>can_bms3_balance_456_req_icnum</v>
          </cell>
        </row>
        <row r="217">
          <cell r="K217" t="str">
            <v>can_bms2_balance_456_req_rsrvd1</v>
          </cell>
        </row>
        <row r="218">
          <cell r="K218" t="str">
            <v>can_bms2_balance_456_req_data6</v>
          </cell>
        </row>
        <row r="219">
          <cell r="K219" t="str">
            <v>can_bms2_balance_456_req_data5</v>
          </cell>
        </row>
        <row r="220">
          <cell r="K220" t="str">
            <v>can_bms2_balance_456_req_data4</v>
          </cell>
        </row>
        <row r="221">
          <cell r="K221" t="str">
            <v>can_bms2_balance_456_req_data3</v>
          </cell>
        </row>
        <row r="222">
          <cell r="K222" t="str">
            <v>can_bms2_balance_456_req_data2</v>
          </cell>
        </row>
        <row r="223">
          <cell r="K223" t="str">
            <v>can_bms2_balance_456_req_data1</v>
          </cell>
        </row>
        <row r="224">
          <cell r="K224" t="str">
            <v>can_bms2_balance_456_req_icnum</v>
          </cell>
        </row>
        <row r="225">
          <cell r="K225" t="str">
            <v>can_bms1_balance_456_req_rsrvd1</v>
          </cell>
        </row>
        <row r="226">
          <cell r="K226" t="str">
            <v>can_bms1_balance_456_req_data6</v>
          </cell>
        </row>
        <row r="227">
          <cell r="K227" t="str">
            <v>can_bms1_balance_456_req_data5</v>
          </cell>
        </row>
        <row r="228">
          <cell r="K228" t="str">
            <v>can_bms1_balance_456_req_data4</v>
          </cell>
        </row>
        <row r="229">
          <cell r="K229" t="str">
            <v>can_bms1_balance_456_req_data3</v>
          </cell>
        </row>
        <row r="230">
          <cell r="K230" t="str">
            <v>can_bms1_balance_456_req_data2</v>
          </cell>
        </row>
        <row r="231">
          <cell r="K231" t="str">
            <v>can_bms1_balance_456_req_data1</v>
          </cell>
        </row>
        <row r="232">
          <cell r="K232" t="str">
            <v>can_bms1_balance_456_req_icnum</v>
          </cell>
        </row>
        <row r="233">
          <cell r="K233" t="str">
            <v>can_bms5_balance_123_req_rsrvd1</v>
          </cell>
        </row>
        <row r="234">
          <cell r="K234" t="str">
            <v>can_bms5_balance_123_req_data6</v>
          </cell>
        </row>
        <row r="235">
          <cell r="K235" t="str">
            <v>can_bms5_balance_123_req_data5</v>
          </cell>
        </row>
        <row r="236">
          <cell r="K236" t="str">
            <v>can_bms5_balance_123_req_data4</v>
          </cell>
        </row>
        <row r="237">
          <cell r="K237" t="str">
            <v>can_bms5_balance_123_req_data3</v>
          </cell>
        </row>
        <row r="238">
          <cell r="K238" t="str">
            <v>can_bms5_balance_123_req_data2</v>
          </cell>
        </row>
        <row r="239">
          <cell r="K239" t="str">
            <v>can_bms5_balance_123_req_data1</v>
          </cell>
        </row>
        <row r="240">
          <cell r="K240" t="str">
            <v>can_bms5_balance_123_req_icnum</v>
          </cell>
        </row>
        <row r="241">
          <cell r="K241" t="str">
            <v>can_bms4_balance_123_req_rsrvd1</v>
          </cell>
        </row>
        <row r="242">
          <cell r="K242" t="str">
            <v>can_bms4_balance_123_req_data6</v>
          </cell>
        </row>
        <row r="243">
          <cell r="K243" t="str">
            <v>can_bms4_balance_123_req_data5</v>
          </cell>
        </row>
        <row r="244">
          <cell r="K244" t="str">
            <v>can_bms4_balance_123_req_data4</v>
          </cell>
        </row>
        <row r="245">
          <cell r="K245" t="str">
            <v>can_bms4_balance_123_req_data3</v>
          </cell>
        </row>
        <row r="246">
          <cell r="K246" t="str">
            <v>can_bms4_balance_123_req_data2</v>
          </cell>
        </row>
        <row r="247">
          <cell r="K247" t="str">
            <v>can_bms4_balance_123_req_data1</v>
          </cell>
        </row>
        <row r="248">
          <cell r="K248" t="str">
            <v>can_bms4_balance_123_req_icnum</v>
          </cell>
        </row>
        <row r="249">
          <cell r="K249" t="str">
            <v>can_bms3_balance_123_req_rsrvd1</v>
          </cell>
        </row>
        <row r="250">
          <cell r="K250" t="str">
            <v>can_bms3_balance_123_req_data6</v>
          </cell>
        </row>
        <row r="251">
          <cell r="K251" t="str">
            <v>can_bms3_balance_123_req_data5</v>
          </cell>
        </row>
        <row r="252">
          <cell r="K252" t="str">
            <v>can_bms3_balance_123_req_data4</v>
          </cell>
        </row>
        <row r="253">
          <cell r="K253" t="str">
            <v>can_bms3_balance_123_req_data3</v>
          </cell>
        </row>
        <row r="254">
          <cell r="K254" t="str">
            <v>can_bms3_balance_123_req_data2</v>
          </cell>
        </row>
        <row r="255">
          <cell r="K255" t="str">
            <v>can_bms3_balance_123_req_data1</v>
          </cell>
        </row>
        <row r="256">
          <cell r="K256" t="str">
            <v>can_bms3_balance_123_req_icnum</v>
          </cell>
        </row>
        <row r="257">
          <cell r="K257" t="str">
            <v>can_bms2_balance_123_req_rsrvd1</v>
          </cell>
        </row>
        <row r="258">
          <cell r="K258" t="str">
            <v>can_bms2_balance_123_req_data6</v>
          </cell>
        </row>
        <row r="259">
          <cell r="K259" t="str">
            <v>can_bms2_balance_123_req_data5</v>
          </cell>
        </row>
        <row r="260">
          <cell r="K260" t="str">
            <v>can_bms2_balance_123_req_data4</v>
          </cell>
        </row>
        <row r="261">
          <cell r="K261" t="str">
            <v>can_bms2_balance_123_req_data3</v>
          </cell>
        </row>
        <row r="262">
          <cell r="K262" t="str">
            <v>can_bms2_balance_123_req_data2</v>
          </cell>
        </row>
        <row r="263">
          <cell r="K263" t="str">
            <v>can_bms2_balance_123_req_data1</v>
          </cell>
        </row>
        <row r="264">
          <cell r="K264" t="str">
            <v>can_bms2_balance_123_req_icnum</v>
          </cell>
        </row>
        <row r="265">
          <cell r="K265" t="str">
            <v>can_bms1_balance_123_req_rsrvd1</v>
          </cell>
        </row>
        <row r="266">
          <cell r="K266" t="str">
            <v>can_bms1_balance_123_req_data6</v>
          </cell>
        </row>
        <row r="267">
          <cell r="K267" t="str">
            <v>can_bms1_balance_123_req_data5</v>
          </cell>
        </row>
        <row r="268">
          <cell r="K268" t="str">
            <v>can_bms1_balance_123_req_data4</v>
          </cell>
        </row>
        <row r="269">
          <cell r="K269" t="str">
            <v>can_bms1_balance_123_req_data3</v>
          </cell>
        </row>
        <row r="270">
          <cell r="K270" t="str">
            <v>can_bms1_balance_123_req_data2</v>
          </cell>
        </row>
        <row r="271">
          <cell r="K271" t="str">
            <v>can_bms1_balance_123_req_data1</v>
          </cell>
        </row>
        <row r="272">
          <cell r="K272" t="str">
            <v>can_bms1_balance_123_req_icnum</v>
          </cell>
        </row>
        <row r="273">
          <cell r="K273" t="str">
            <v>can_bms5_selfchk_ct2_req_ic</v>
          </cell>
        </row>
        <row r="274">
          <cell r="K274" t="str">
            <v>can_bms5_selfchk_ct2_req_rsrvd7</v>
          </cell>
        </row>
        <row r="275">
          <cell r="K275" t="str">
            <v>can_bms5_selfchk_ct2_req_rsrvd6</v>
          </cell>
        </row>
        <row r="276">
          <cell r="K276" t="str">
            <v>can_bms5_selfchk_ct2_req_rsrvd5</v>
          </cell>
        </row>
        <row r="277">
          <cell r="K277" t="str">
            <v>can_bms5_selfchk_ct2_req_rsrvd4</v>
          </cell>
        </row>
        <row r="278">
          <cell r="K278" t="str">
            <v>can_bms5_selfchk_ct2_req_rsrvd3</v>
          </cell>
        </row>
        <row r="279">
          <cell r="K279" t="str">
            <v>can_bms5_selfchk_ct2_req_rsrvd2</v>
          </cell>
        </row>
        <row r="280">
          <cell r="K280" t="str">
            <v>can_bms5_selfchk_ct2_req_rsrvd1</v>
          </cell>
        </row>
        <row r="281">
          <cell r="K281" t="str">
            <v>can_bms4_selfchk_ct2_req_ic</v>
          </cell>
        </row>
        <row r="282">
          <cell r="K282" t="str">
            <v>can_bms4_selfchk_ct2_req_rsrvd7</v>
          </cell>
        </row>
        <row r="283">
          <cell r="K283" t="str">
            <v>can_bms4_selfchk_ct2_req_rsrvd6</v>
          </cell>
        </row>
        <row r="284">
          <cell r="K284" t="str">
            <v>can_bms4_selfchk_ct2_req_rsrvd5</v>
          </cell>
        </row>
        <row r="285">
          <cell r="K285" t="str">
            <v>can_bms4_selfchk_ct2_req_rsrvd4</v>
          </cell>
        </row>
        <row r="286">
          <cell r="K286" t="str">
            <v>can_bms4_selfchk_ct2_req_rsrvd3</v>
          </cell>
        </row>
        <row r="287">
          <cell r="K287" t="str">
            <v>can_bms4_selfchk_ct2_req_rsrvd2</v>
          </cell>
        </row>
        <row r="288">
          <cell r="K288" t="str">
            <v>can_bms4_selfchk_ct2_req_rsrvd1</v>
          </cell>
        </row>
        <row r="289">
          <cell r="K289" t="str">
            <v>can_bms3_selfchk_ct2_req_ic</v>
          </cell>
        </row>
        <row r="290">
          <cell r="K290" t="str">
            <v>can_bms3_selfchk_ct2_req_rsrvd7</v>
          </cell>
        </row>
        <row r="291">
          <cell r="K291" t="str">
            <v>can_bms3_selfchk_ct2_req_rsrvd6</v>
          </cell>
        </row>
        <row r="292">
          <cell r="K292" t="str">
            <v>can_bms3_selfchk_ct2_req_rsrvd5</v>
          </cell>
        </row>
        <row r="293">
          <cell r="K293" t="str">
            <v>can_bms3_selfchk_ct2_req_rsrvd4</v>
          </cell>
        </row>
        <row r="294">
          <cell r="K294" t="str">
            <v>can_bms3_selfchk_ct2_req_rsrvd3</v>
          </cell>
        </row>
        <row r="295">
          <cell r="K295" t="str">
            <v>can_bms3_selfchk_ct2_req_rsrvd2</v>
          </cell>
        </row>
        <row r="296">
          <cell r="K296" t="str">
            <v>can_bms3_selfchk_ct2_req_rsrvd1</v>
          </cell>
        </row>
        <row r="297">
          <cell r="K297" t="str">
            <v>can_bms2_selfchk_ct2_req_ic</v>
          </cell>
        </row>
        <row r="298">
          <cell r="K298" t="str">
            <v>can_bms2_selfchk_ct2_req_rsrvd7</v>
          </cell>
        </row>
        <row r="299">
          <cell r="K299" t="str">
            <v>can_bms2_selfchk_ct2_req_rsrvd6</v>
          </cell>
        </row>
        <row r="300">
          <cell r="K300" t="str">
            <v>can_bms2_selfchk_ct2_req_rsrvd5</v>
          </cell>
        </row>
        <row r="301">
          <cell r="K301" t="str">
            <v>can_bms2_selfchk_ct2_req_rsrvd4</v>
          </cell>
        </row>
        <row r="302">
          <cell r="K302" t="str">
            <v>can_bms2_selfchk_ct2_req_rsrvd3</v>
          </cell>
        </row>
        <row r="303">
          <cell r="K303" t="str">
            <v>can_bms2_selfchk_ct2_req_rsrvd2</v>
          </cell>
        </row>
        <row r="304">
          <cell r="K304" t="str">
            <v>can_bms2_selfchk_ct2_req_rsrvd1</v>
          </cell>
        </row>
        <row r="305">
          <cell r="K305" t="str">
            <v>can_bms1_selfchk_ct2_req_ic</v>
          </cell>
        </row>
        <row r="306">
          <cell r="K306" t="str">
            <v>can_bms1_selfchk_ct2_req_rsrvd7</v>
          </cell>
        </row>
        <row r="307">
          <cell r="K307" t="str">
            <v>can_bms1_selfchk_ct2_req_rsrvd6</v>
          </cell>
        </row>
        <row r="308">
          <cell r="K308" t="str">
            <v>can_bms1_selfchk_ct2_req_rsrvd5</v>
          </cell>
        </row>
        <row r="309">
          <cell r="K309" t="str">
            <v>can_bms1_selfchk_ct2_req_rsrvd4</v>
          </cell>
        </row>
        <row r="310">
          <cell r="K310" t="str">
            <v>can_bms1_selfchk_ct2_req_rsrvd3</v>
          </cell>
        </row>
        <row r="311">
          <cell r="K311" t="str">
            <v>can_bms1_selfchk_ct2_req_rsrvd2</v>
          </cell>
        </row>
        <row r="312">
          <cell r="K312" t="str">
            <v>can_bms1_selfchk_ct2_req_rsrvd1</v>
          </cell>
        </row>
        <row r="313">
          <cell r="K313" t="str">
            <v>can_bms5_selfchk_vol2_req_ic</v>
          </cell>
        </row>
        <row r="314">
          <cell r="K314" t="str">
            <v>can_bms5_selfchk_vol2_req_rsrvd7</v>
          </cell>
        </row>
        <row r="315">
          <cell r="K315" t="str">
            <v>can_bms5_selfchk_vol2_req_rsrvd6</v>
          </cell>
        </row>
        <row r="316">
          <cell r="K316" t="str">
            <v>can_bms5_selfchk_vol2_req_rsrvd5</v>
          </cell>
        </row>
        <row r="317">
          <cell r="K317" t="str">
            <v>can_bms5_selfchk_vol2_req_rsrvd4</v>
          </cell>
        </row>
        <row r="318">
          <cell r="K318" t="str">
            <v>can_bms5_selfchk_vol2_req_rsrvd3</v>
          </cell>
        </row>
        <row r="319">
          <cell r="K319" t="str">
            <v>can_bms5_selfchk_vol2_req_rsrvd2</v>
          </cell>
        </row>
        <row r="320">
          <cell r="K320" t="str">
            <v>can_bms5_selfchk_vol2_req_rsrvd1</v>
          </cell>
        </row>
        <row r="321">
          <cell r="K321" t="str">
            <v>can_bms4_selfchk_vol2_req_ic</v>
          </cell>
        </row>
        <row r="322">
          <cell r="K322" t="str">
            <v>can_bms4_selfchk_vol2_req_rsrvd7</v>
          </cell>
        </row>
        <row r="323">
          <cell r="K323" t="str">
            <v>can_bms4_selfchk_vol2_req_rsrvd6</v>
          </cell>
        </row>
        <row r="324">
          <cell r="K324" t="str">
            <v>can_bms4_selfchk_vol2_req_rsrvd5</v>
          </cell>
        </row>
        <row r="325">
          <cell r="K325" t="str">
            <v>can_bms4_selfchk_vol2_req_rsrvd4</v>
          </cell>
        </row>
        <row r="326">
          <cell r="K326" t="str">
            <v>can_bms4_selfchk_vol2_req_rsrvd3</v>
          </cell>
        </row>
        <row r="327">
          <cell r="K327" t="str">
            <v>can_bms4_selfchk_vol2_req_rsrvd2</v>
          </cell>
        </row>
        <row r="328">
          <cell r="K328" t="str">
            <v>can_bms4_selfchk_vol2_req_rsrvd1</v>
          </cell>
        </row>
        <row r="329">
          <cell r="K329" t="str">
            <v>can_bms3_selfchk_vol2_req_ic</v>
          </cell>
        </row>
        <row r="330">
          <cell r="K330" t="str">
            <v>can_bms3_selfchk_vol2_req_rsrvd7</v>
          </cell>
        </row>
        <row r="331">
          <cell r="K331" t="str">
            <v>can_bms3_selfchk_vol2_req_rsrvd6</v>
          </cell>
        </row>
        <row r="332">
          <cell r="K332" t="str">
            <v>can_bms3_selfchk_vol2_req_rsrvd5</v>
          </cell>
        </row>
        <row r="333">
          <cell r="K333" t="str">
            <v>can_bms3_selfchk_vol2_req_rsrvd4</v>
          </cell>
        </row>
        <row r="334">
          <cell r="K334" t="str">
            <v>can_bms3_selfchk_vol2_req_rsrvd3</v>
          </cell>
        </row>
        <row r="335">
          <cell r="K335" t="str">
            <v>can_bms3_selfchk_vol2_req_rsrvd2</v>
          </cell>
        </row>
        <row r="336">
          <cell r="K336" t="str">
            <v>can_bms3_selfchk_vol2_req_rsrvd1</v>
          </cell>
        </row>
        <row r="337">
          <cell r="K337" t="str">
            <v>can_bms2_selfchk_vol2_req_ic</v>
          </cell>
        </row>
        <row r="338">
          <cell r="K338" t="str">
            <v>can_bms2_selfchk_vol2_req_rsrvd7</v>
          </cell>
        </row>
        <row r="339">
          <cell r="K339" t="str">
            <v>can_bms2_selfchk_vol2_req_rsrvd6</v>
          </cell>
        </row>
        <row r="340">
          <cell r="K340" t="str">
            <v>can_bms2_selfchk_vol2_req_rsrvd5</v>
          </cell>
        </row>
        <row r="341">
          <cell r="K341" t="str">
            <v>can_bms2_selfchk_vol2_req_rsrvd4</v>
          </cell>
        </row>
        <row r="342">
          <cell r="K342" t="str">
            <v>can_bms2_selfchk_vol2_req_rsrvd3</v>
          </cell>
        </row>
        <row r="343">
          <cell r="K343" t="str">
            <v>can_bms2_selfchk_vol2_req_rsrvd2</v>
          </cell>
        </row>
        <row r="344">
          <cell r="K344" t="str">
            <v>can_bms2_selfchk_vol2_req_rsrvd1</v>
          </cell>
        </row>
        <row r="345">
          <cell r="K345" t="str">
            <v>can_bms1_selfchk_vol2_req_ic</v>
          </cell>
        </row>
        <row r="346">
          <cell r="K346" t="str">
            <v>can_bms1_selfchk_vol2_req_rsrvd7</v>
          </cell>
        </row>
        <row r="347">
          <cell r="K347" t="str">
            <v>can_bms1_selfchk_vol2_req_rsrvd6</v>
          </cell>
        </row>
        <row r="348">
          <cell r="K348" t="str">
            <v>can_bms1_selfchk_vol2_req_rsrvd5</v>
          </cell>
        </row>
        <row r="349">
          <cell r="K349" t="str">
            <v>can_bms1_selfchk_vol2_req_rsrvd4</v>
          </cell>
        </row>
        <row r="350">
          <cell r="K350" t="str">
            <v>can_bms1_selfchk_vol2_req_rsrvd3</v>
          </cell>
        </row>
        <row r="351">
          <cell r="K351" t="str">
            <v>can_bms1_selfchk_vol2_req_rsrvd2</v>
          </cell>
        </row>
        <row r="352">
          <cell r="K352" t="str">
            <v>can_bms1_selfchk_vol2_req_rsrvd1</v>
          </cell>
        </row>
        <row r="353">
          <cell r="K353" t="str">
            <v>can_bms5_selfchk_ct1_req_ic</v>
          </cell>
        </row>
        <row r="354">
          <cell r="K354" t="str">
            <v>can_bms5_selfchk_ct1_req_rsrvd7</v>
          </cell>
        </row>
        <row r="355">
          <cell r="K355" t="str">
            <v>can_bms5_selfchk_ct1_req_rsrvd6</v>
          </cell>
        </row>
        <row r="356">
          <cell r="K356" t="str">
            <v>can_bms5_selfchk_ct1_req_rsrvd5</v>
          </cell>
        </row>
        <row r="357">
          <cell r="K357" t="str">
            <v>can_bms5_selfchk_ct1_req_rsrvd4</v>
          </cell>
        </row>
        <row r="358">
          <cell r="K358" t="str">
            <v>can_bms5_selfchk_ct1_req_rsrvd3</v>
          </cell>
        </row>
        <row r="359">
          <cell r="K359" t="str">
            <v>can_bms5_selfchk_ct1_req_rsrvd2</v>
          </cell>
        </row>
        <row r="360">
          <cell r="K360" t="str">
            <v>can_bms5_selfchk_ct1_req_rsrvd1</v>
          </cell>
        </row>
        <row r="361">
          <cell r="K361" t="str">
            <v>can_bms4_selfchk_ct1_req_ic</v>
          </cell>
        </row>
        <row r="362">
          <cell r="K362" t="str">
            <v>can_bms4_selfchk_ct1_req_rsrvd7</v>
          </cell>
        </row>
        <row r="363">
          <cell r="K363" t="str">
            <v>can_bms4_selfchk_ct1_req_rsrvd6</v>
          </cell>
        </row>
        <row r="364">
          <cell r="K364" t="str">
            <v>can_bms4_selfchk_ct1_req_rsrvd5</v>
          </cell>
        </row>
        <row r="365">
          <cell r="K365" t="str">
            <v>can_bms4_selfchk_ct1_req_rsrvd4</v>
          </cell>
        </row>
        <row r="366">
          <cell r="K366" t="str">
            <v>can_bms4_selfchk_ct1_req_rsrvd3</v>
          </cell>
        </row>
        <row r="367">
          <cell r="K367" t="str">
            <v>can_bms4_selfchk_ct1_req_rsrvd2</v>
          </cell>
        </row>
        <row r="368">
          <cell r="K368" t="str">
            <v>can_bms4_selfchk_ct1_req_rsrvd1</v>
          </cell>
        </row>
        <row r="369">
          <cell r="K369" t="str">
            <v>can_bms3_selfchk_ct1_req_ic</v>
          </cell>
        </row>
        <row r="370">
          <cell r="K370" t="str">
            <v>can_bms3_selfchk_ct1_req_rsrvd7</v>
          </cell>
        </row>
        <row r="371">
          <cell r="K371" t="str">
            <v>can_bms3_selfchk_ct1_req_rsrvd6</v>
          </cell>
        </row>
        <row r="372">
          <cell r="K372" t="str">
            <v>can_bms3_selfchk_ct1_req_rsrvd5</v>
          </cell>
        </row>
        <row r="373">
          <cell r="K373" t="str">
            <v>can_bms3_selfchk_ct1_req_rsrvd4</v>
          </cell>
        </row>
        <row r="374">
          <cell r="K374" t="str">
            <v>can_bms3_selfchk_ct1_req_rsrvd3</v>
          </cell>
        </row>
        <row r="375">
          <cell r="K375" t="str">
            <v>can_bms3_selfchk_ct1_req_rsrvd2</v>
          </cell>
        </row>
        <row r="376">
          <cell r="K376" t="str">
            <v>can_bms3_selfchk_ct1_req_rsrvd1</v>
          </cell>
        </row>
        <row r="377">
          <cell r="K377" t="str">
            <v>can_bms2_selfchk_ct1_req_ic</v>
          </cell>
        </row>
        <row r="378">
          <cell r="K378" t="str">
            <v>can_bms2_selfchk_ct1_req_rsrvd7</v>
          </cell>
        </row>
        <row r="379">
          <cell r="K379" t="str">
            <v>can_bms2_selfchk_ct1_req_rsrvd6</v>
          </cell>
        </row>
        <row r="380">
          <cell r="K380" t="str">
            <v>can_bms2_selfchk_ct1_req_rsrvd5</v>
          </cell>
        </row>
        <row r="381">
          <cell r="K381" t="str">
            <v>can_bms2_selfchk_ct1_req_rsrvd4</v>
          </cell>
        </row>
        <row r="382">
          <cell r="K382" t="str">
            <v>can_bms2_selfchk_ct1_req_rsrvd3</v>
          </cell>
        </row>
        <row r="383">
          <cell r="K383" t="str">
            <v>can_bms2_selfchk_ct1_req_rsrvd2</v>
          </cell>
        </row>
        <row r="384">
          <cell r="K384" t="str">
            <v>can_bms2_selfchk_ct1_req_rsrvd1</v>
          </cell>
        </row>
        <row r="385">
          <cell r="K385" t="str">
            <v>can_bms1_selfchk_ct1_req_ic</v>
          </cell>
        </row>
        <row r="386">
          <cell r="K386" t="str">
            <v>can_bms1_selfchk_ct1_req_rsrvd7</v>
          </cell>
        </row>
        <row r="387">
          <cell r="K387" t="str">
            <v>can_bms1_selfchk_ct1_req_rsrvd6</v>
          </cell>
        </row>
        <row r="388">
          <cell r="K388" t="str">
            <v>can_bms1_selfchk_ct1_req_rsrvd5</v>
          </cell>
        </row>
        <row r="389">
          <cell r="K389" t="str">
            <v>can_bms1_selfchk_ct1_req_rsrvd4</v>
          </cell>
        </row>
        <row r="390">
          <cell r="K390" t="str">
            <v>can_bms1_selfchk_ct1_req_rsrvd3</v>
          </cell>
        </row>
        <row r="391">
          <cell r="K391" t="str">
            <v>can_bms1_selfchk_ct1_req_rsrvd2</v>
          </cell>
        </row>
        <row r="392">
          <cell r="K392" t="str">
            <v>can_bms1_selfchk_ct1_req_rsrvd1</v>
          </cell>
        </row>
        <row r="393">
          <cell r="K393" t="str">
            <v>can_bms5_selfchk_vol1_req_ic</v>
          </cell>
        </row>
        <row r="394">
          <cell r="K394" t="str">
            <v>can_bms5_selfchk_vol1_req_rsrvd7</v>
          </cell>
        </row>
        <row r="395">
          <cell r="K395" t="str">
            <v>can_bms5_selfchk_vol1_req_rsrvd6</v>
          </cell>
        </row>
        <row r="396">
          <cell r="K396" t="str">
            <v>can_bms5_selfchk_vol1_req_rsrvd5</v>
          </cell>
        </row>
        <row r="397">
          <cell r="K397" t="str">
            <v>can_bms5_selfchk_vol1_req_rsrvd4</v>
          </cell>
        </row>
        <row r="398">
          <cell r="K398" t="str">
            <v>can_bms5_selfchk_vol1_req_rsrvd3</v>
          </cell>
        </row>
        <row r="399">
          <cell r="K399" t="str">
            <v>can_bms5_selfchk_vol1_req_rsrvd2</v>
          </cell>
        </row>
        <row r="400">
          <cell r="K400" t="str">
            <v>can_bms5_selfchk_vol1_req_rsrvd1</v>
          </cell>
        </row>
        <row r="401">
          <cell r="K401" t="str">
            <v>can_bms4_selfchk_vol1_req_ic</v>
          </cell>
        </row>
        <row r="402">
          <cell r="K402" t="str">
            <v>can_bms4_selfchk_vol1_req_rsrvd7</v>
          </cell>
        </row>
        <row r="403">
          <cell r="K403" t="str">
            <v>can_bms4_selfchk_vol1_req_rsrvd6</v>
          </cell>
        </row>
        <row r="404">
          <cell r="K404" t="str">
            <v>can_bms4_selfchk_vol1_req_rsrvd5</v>
          </cell>
        </row>
        <row r="405">
          <cell r="K405" t="str">
            <v>can_bms4_selfchk_vol1_req_rsrvd4</v>
          </cell>
        </row>
        <row r="406">
          <cell r="K406" t="str">
            <v>can_bms4_selfchk_vol1_req_rsrvd3</v>
          </cell>
        </row>
        <row r="407">
          <cell r="K407" t="str">
            <v>can_bms4_selfchk_vol1_req_rsrvd2</v>
          </cell>
        </row>
        <row r="408">
          <cell r="K408" t="str">
            <v>can_bms4_selfchk_vol1_req_rsrvd1</v>
          </cell>
        </row>
        <row r="409">
          <cell r="K409" t="str">
            <v>can_bms3_selfchk_vol1_req_ic</v>
          </cell>
        </row>
        <row r="410">
          <cell r="K410" t="str">
            <v>can_bms3_selfchk_vol1_req_rsrvd7</v>
          </cell>
        </row>
        <row r="411">
          <cell r="K411" t="str">
            <v>can_bms3_selfchk_vol1_req_rsrvd6</v>
          </cell>
        </row>
        <row r="412">
          <cell r="K412" t="str">
            <v>can_bms3_selfchk_vol1_req_rsrvd5</v>
          </cell>
        </row>
        <row r="413">
          <cell r="K413" t="str">
            <v>can_bms3_selfchk_vol1_req_rsrvd4</v>
          </cell>
        </row>
        <row r="414">
          <cell r="K414" t="str">
            <v>can_bms3_selfchk_vol1_req_rsrvd3</v>
          </cell>
        </row>
        <row r="415">
          <cell r="K415" t="str">
            <v>can_bms3_selfchk_vol1_req_rsrvd2</v>
          </cell>
        </row>
        <row r="416">
          <cell r="K416" t="str">
            <v>can_bms3_selfchk_vol1_req_rsrvd1</v>
          </cell>
        </row>
        <row r="417">
          <cell r="K417" t="str">
            <v>can_bms2_selfchk_vol1_req_ic</v>
          </cell>
        </row>
        <row r="418">
          <cell r="K418" t="str">
            <v>can_bms2_selfchk_vol1_req_rsrvd7</v>
          </cell>
        </row>
        <row r="419">
          <cell r="K419" t="str">
            <v>can_bms2_selfchk_vol1_req_rsrvd6</v>
          </cell>
        </row>
        <row r="420">
          <cell r="K420" t="str">
            <v>can_bms2_selfchk_vol1_req_rsrvd5</v>
          </cell>
        </row>
        <row r="421">
          <cell r="K421" t="str">
            <v>can_bms2_selfchk_vol1_req_rsrvd4</v>
          </cell>
        </row>
        <row r="422">
          <cell r="K422" t="str">
            <v>can_bms2_selfchk_vol1_req_rsrvd3</v>
          </cell>
        </row>
        <row r="423">
          <cell r="K423" t="str">
            <v>can_bms2_selfchk_vol1_req_rsrvd2</v>
          </cell>
        </row>
        <row r="424">
          <cell r="K424" t="str">
            <v>can_bms2_selfchk_vol1_req_rsrvd1</v>
          </cell>
        </row>
        <row r="425">
          <cell r="K425" t="str">
            <v>can_bms1_selfchk_vol1_req_ic</v>
          </cell>
        </row>
        <row r="426">
          <cell r="K426" t="str">
            <v>can_bms1_selfchk_vol1_req_rsrvd7</v>
          </cell>
        </row>
        <row r="427">
          <cell r="K427" t="str">
            <v>can_bms1_selfchk_vol1_req_rsrvd6</v>
          </cell>
        </row>
        <row r="428">
          <cell r="K428" t="str">
            <v>can_bms1_selfchk_vol1_req_rsrvd5</v>
          </cell>
        </row>
        <row r="429">
          <cell r="K429" t="str">
            <v>can_bms1_selfchk_vol1_req_rsrvd4</v>
          </cell>
        </row>
        <row r="430">
          <cell r="K430" t="str">
            <v>can_bms1_selfchk_vol1_req_rsrvd3</v>
          </cell>
        </row>
        <row r="431">
          <cell r="K431" t="str">
            <v>can_bms1_selfchk_vol1_req_rsrvd2</v>
          </cell>
        </row>
        <row r="432">
          <cell r="K432" t="str">
            <v>can_bms1_selfchk_vol1_req_rsrvd1</v>
          </cell>
        </row>
        <row r="433">
          <cell r="K433" t="str">
            <v>can_bms5_openwire_pd_req_ic</v>
          </cell>
        </row>
        <row r="434">
          <cell r="K434" t="str">
            <v>can_bms5_openwire_pd_req_rsrvd7</v>
          </cell>
        </row>
        <row r="435">
          <cell r="K435" t="str">
            <v>can_bms5_openwire_pd_req_rsrvd6</v>
          </cell>
        </row>
        <row r="436">
          <cell r="K436" t="str">
            <v>can_bms5_openwire_pd_req_rsrvd5</v>
          </cell>
        </row>
        <row r="437">
          <cell r="K437" t="str">
            <v>can_bms5_openwire_pd_req_rsrvd4</v>
          </cell>
        </row>
        <row r="438">
          <cell r="K438" t="str">
            <v>can_bms5_openwire_pd_req_rsrvd3</v>
          </cell>
        </row>
        <row r="439">
          <cell r="K439" t="str">
            <v>can_bms5_openwire_pd_req_rsrvd2</v>
          </cell>
        </row>
        <row r="440">
          <cell r="K440" t="str">
            <v>can_bms5_openwire_pd_req_rsrvd1</v>
          </cell>
        </row>
        <row r="441">
          <cell r="K441" t="str">
            <v>can_bms4_openwire_pd_req_ic</v>
          </cell>
        </row>
        <row r="442">
          <cell r="K442" t="str">
            <v>can_bms4_openwire_pd_req_rsrvd7</v>
          </cell>
        </row>
        <row r="443">
          <cell r="K443" t="str">
            <v>can_bms4_openwire_pd_req_rsrvd6</v>
          </cell>
        </row>
        <row r="444">
          <cell r="K444" t="str">
            <v>can_bms4_openwire_pd_req_rsrvd5</v>
          </cell>
        </row>
        <row r="445">
          <cell r="K445" t="str">
            <v>can_bms4_openwire_pd_req_rsrvd4</v>
          </cell>
        </row>
        <row r="446">
          <cell r="K446" t="str">
            <v>can_bms4_openwire_pd_req_rsrvd3</v>
          </cell>
        </row>
        <row r="447">
          <cell r="K447" t="str">
            <v>can_bms4_openwire_pd_req_rsrvd2</v>
          </cell>
        </row>
        <row r="448">
          <cell r="K448" t="str">
            <v>can_bms4_openwire_pd_req_rsrvd1</v>
          </cell>
        </row>
        <row r="449">
          <cell r="K449" t="str">
            <v>can_bms3_openwire_pd_req_ic</v>
          </cell>
        </row>
        <row r="450">
          <cell r="K450" t="str">
            <v>can_bms3_openwire_pd_req_rsrvd7</v>
          </cell>
        </row>
        <row r="451">
          <cell r="K451" t="str">
            <v>can_bms3_openwire_pd_req_rsrvd6</v>
          </cell>
        </row>
        <row r="452">
          <cell r="K452" t="str">
            <v>can_bms3_openwire_pd_req_rsrvd5</v>
          </cell>
        </row>
        <row r="453">
          <cell r="K453" t="str">
            <v>can_bms3_openwire_pd_req_rsrvd4</v>
          </cell>
        </row>
        <row r="454">
          <cell r="K454" t="str">
            <v>can_bms3_openwire_pd_req_rsrvd3</v>
          </cell>
        </row>
        <row r="455">
          <cell r="K455" t="str">
            <v>can_bms3_openwire_pd_req_rsrvd2</v>
          </cell>
        </row>
        <row r="456">
          <cell r="K456" t="str">
            <v>can_bms3_openwire_pd_req_rsrvd1</v>
          </cell>
        </row>
        <row r="457">
          <cell r="K457" t="str">
            <v>can_bms2_openwire_pd_req_ic</v>
          </cell>
        </row>
        <row r="458">
          <cell r="K458" t="str">
            <v>can_bms2_openwire_pd_req_rsrvd7</v>
          </cell>
        </row>
        <row r="459">
          <cell r="K459" t="str">
            <v>can_bms2_openwire_pd_req_rsrvd6</v>
          </cell>
        </row>
        <row r="460">
          <cell r="K460" t="str">
            <v>can_bms2_openwire_pd_req_rsrvd5</v>
          </cell>
        </row>
        <row r="461">
          <cell r="K461" t="str">
            <v>can_bms2_openwire_pd_req_rsrvd4</v>
          </cell>
        </row>
        <row r="462">
          <cell r="K462" t="str">
            <v>can_bms2_openwire_pd_req_rsrvd3</v>
          </cell>
        </row>
        <row r="463">
          <cell r="K463" t="str">
            <v>can_bms2_openwire_pd_req_rsrvd2</v>
          </cell>
        </row>
        <row r="464">
          <cell r="K464" t="str">
            <v>can_bms2_openwire_pd_req_rsrvd1</v>
          </cell>
        </row>
        <row r="465">
          <cell r="K465" t="str">
            <v>can_bms1_openwire_pd_req_ic</v>
          </cell>
        </row>
        <row r="466">
          <cell r="K466" t="str">
            <v>can_bms1_openwire_pd_req_rsrvd7</v>
          </cell>
        </row>
        <row r="467">
          <cell r="K467" t="str">
            <v>can_bms1_openwire_pd_req_rsrvd6</v>
          </cell>
        </row>
        <row r="468">
          <cell r="K468" t="str">
            <v>can_bms1_openwire_pd_req_rsrvd5</v>
          </cell>
        </row>
        <row r="469">
          <cell r="K469" t="str">
            <v>can_bms1_openwire_pd_req_rsrvd4</v>
          </cell>
        </row>
        <row r="470">
          <cell r="K470" t="str">
            <v>can_bms1_openwire_pd_req_rsrvd3</v>
          </cell>
        </row>
        <row r="471">
          <cell r="K471" t="str">
            <v>can_bms1_openwire_pd_req_rsrvd2</v>
          </cell>
        </row>
        <row r="472">
          <cell r="K472" t="str">
            <v>can_bms1_openwire_pd_req_rsrvd1</v>
          </cell>
        </row>
        <row r="473">
          <cell r="K473" t="str">
            <v>can_bms5_openwire_pu_req_ic</v>
          </cell>
        </row>
        <row r="474">
          <cell r="K474" t="str">
            <v>can_bms5_openwire_pu_req_rsrvd7</v>
          </cell>
        </row>
        <row r="475">
          <cell r="K475" t="str">
            <v>can_bms5_openwire_pu_req_rsrvd6</v>
          </cell>
        </row>
        <row r="476">
          <cell r="K476" t="str">
            <v>can_bms5_openwire_pu_req_rsrvd5</v>
          </cell>
        </row>
        <row r="477">
          <cell r="K477" t="str">
            <v>can_bms5_openwire_pu_req_rsrvd4</v>
          </cell>
        </row>
        <row r="478">
          <cell r="K478" t="str">
            <v>can_bms5_openwire_pu_req_rsrvd3</v>
          </cell>
        </row>
        <row r="479">
          <cell r="K479" t="str">
            <v>can_bms5_openwire_pu_req_rsrvd2</v>
          </cell>
        </row>
        <row r="480">
          <cell r="K480" t="str">
            <v>can_bms5_openwire_pu_req_rsrvd1</v>
          </cell>
        </row>
        <row r="481">
          <cell r="K481" t="str">
            <v>can_bms4_openwire_pu_req_ic</v>
          </cell>
        </row>
        <row r="482">
          <cell r="K482" t="str">
            <v>can_bms4_openwire_pu_req_rsrvd7</v>
          </cell>
        </row>
        <row r="483">
          <cell r="K483" t="str">
            <v>can_bms4_openwire_pu_req_rsrvd6</v>
          </cell>
        </row>
        <row r="484">
          <cell r="K484" t="str">
            <v>can_bms4_openwire_pu_req_rsrvd5</v>
          </cell>
        </row>
        <row r="485">
          <cell r="K485" t="str">
            <v>can_bms4_openwire_pu_req_rsrvd4</v>
          </cell>
        </row>
        <row r="486">
          <cell r="K486" t="str">
            <v>can_bms4_openwire_pu_req_rsrvd3</v>
          </cell>
        </row>
        <row r="487">
          <cell r="K487" t="str">
            <v>can_bms4_openwire_pu_req_rsrvd2</v>
          </cell>
        </row>
        <row r="488">
          <cell r="K488" t="str">
            <v>can_bms4_openwire_pu_req_rsrvd1</v>
          </cell>
        </row>
        <row r="489">
          <cell r="K489" t="str">
            <v>can_bms3_openwire_pu_req_ic</v>
          </cell>
        </row>
        <row r="490">
          <cell r="K490" t="str">
            <v>can_bms3_openwire_pu_req_rsrvd7</v>
          </cell>
        </row>
        <row r="491">
          <cell r="K491" t="str">
            <v>can_bms3_openwire_pu_req_rsrvd6</v>
          </cell>
        </row>
        <row r="492">
          <cell r="K492" t="str">
            <v>can_bms3_openwire_pu_req_rsrvd5</v>
          </cell>
        </row>
        <row r="493">
          <cell r="K493" t="str">
            <v>can_bms3_openwire_pu_req_rsrvd4</v>
          </cell>
        </row>
        <row r="494">
          <cell r="K494" t="str">
            <v>can_bms3_openwire_pu_req_rsrvd3</v>
          </cell>
        </row>
        <row r="495">
          <cell r="K495" t="str">
            <v>can_bms3_openwire_pu_req_rsrvd2</v>
          </cell>
        </row>
        <row r="496">
          <cell r="K496" t="str">
            <v>can_bms3_openwire_pu_req_rsrvd1</v>
          </cell>
        </row>
        <row r="497">
          <cell r="K497" t="str">
            <v>can_bms2_openwire_pu_req_ic</v>
          </cell>
        </row>
        <row r="498">
          <cell r="K498" t="str">
            <v>can_bms2_openwire_pu_req_rsrvd7</v>
          </cell>
        </row>
        <row r="499">
          <cell r="K499" t="str">
            <v>can_bms2_openwire_pu_req_rsrvd6</v>
          </cell>
        </row>
        <row r="500">
          <cell r="K500" t="str">
            <v>can_bms2_openwire_pu_req_rsrvd5</v>
          </cell>
        </row>
        <row r="501">
          <cell r="K501" t="str">
            <v>can_bms2_openwire_pu_req_rsrvd4</v>
          </cell>
        </row>
        <row r="502">
          <cell r="K502" t="str">
            <v>can_bms2_openwire_pu_req_rsrvd3</v>
          </cell>
        </row>
        <row r="503">
          <cell r="K503" t="str">
            <v>can_bms2_openwire_pu_req_rsrvd2</v>
          </cell>
        </row>
        <row r="504">
          <cell r="K504" t="str">
            <v>can_bms2_openwire_pu_req_rsrvd1</v>
          </cell>
        </row>
        <row r="505">
          <cell r="K505" t="str">
            <v>can_bms1_openwire_pu_req_ic</v>
          </cell>
        </row>
        <row r="506">
          <cell r="K506" t="str">
            <v>can_bms1_openwire_pu_req_rsrvd7</v>
          </cell>
        </row>
        <row r="507">
          <cell r="K507" t="str">
            <v>can_bms1_openwire_pu_req_rsrvd6</v>
          </cell>
        </row>
        <row r="508">
          <cell r="K508" t="str">
            <v>can_bms1_openwire_pu_req_rsrvd5</v>
          </cell>
        </row>
        <row r="509">
          <cell r="K509" t="str">
            <v>can_bms1_openwire_pu_req_rsrvd4</v>
          </cell>
        </row>
        <row r="510">
          <cell r="K510" t="str">
            <v>can_bms1_openwire_pu_req_rsrvd3</v>
          </cell>
        </row>
        <row r="511">
          <cell r="K511" t="str">
            <v>can_bms1_openwire_pu_req_rsrvd2</v>
          </cell>
        </row>
        <row r="512">
          <cell r="K512" t="str">
            <v>can_bms1_openwire_pu_req_rsrvd1</v>
          </cell>
        </row>
        <row r="513">
          <cell r="K513" t="str">
            <v>can_bms5_cur_req_rsrvd8</v>
          </cell>
        </row>
        <row r="514">
          <cell r="K514" t="str">
            <v>can_bms5_cur_req_rsrvd7</v>
          </cell>
        </row>
        <row r="515">
          <cell r="K515" t="str">
            <v>can_bms5_cur_req_rsrvd6</v>
          </cell>
        </row>
        <row r="516">
          <cell r="K516" t="str">
            <v>can_bms5_cur_req_rsrvd5</v>
          </cell>
        </row>
        <row r="517">
          <cell r="K517" t="str">
            <v>can_bms5_cur_req_rsrvd4</v>
          </cell>
        </row>
        <row r="518">
          <cell r="K518" t="str">
            <v>can_bms5_cur_req_rsrvd3</v>
          </cell>
        </row>
        <row r="519">
          <cell r="K519" t="str">
            <v>can_bms5_cur_req_rsrvd2</v>
          </cell>
        </row>
        <row r="520">
          <cell r="K520" t="str">
            <v>can_bms5_cur_req_rsrvd1</v>
          </cell>
        </row>
        <row r="521">
          <cell r="K521" t="str">
            <v>can_bms4_cur_req_rsrvd8</v>
          </cell>
        </row>
        <row r="522">
          <cell r="K522" t="str">
            <v>can_bms4_cur_req_rsrvd7</v>
          </cell>
        </row>
        <row r="523">
          <cell r="K523" t="str">
            <v>can_bms4_cur_req_rsrvd6</v>
          </cell>
        </row>
        <row r="524">
          <cell r="K524" t="str">
            <v>can_bms4_cur_req_rsrvd5</v>
          </cell>
        </row>
        <row r="525">
          <cell r="K525" t="str">
            <v>can_bms4_cur_req_rsrvd4</v>
          </cell>
        </row>
        <row r="526">
          <cell r="K526" t="str">
            <v>can_bms4_cur_req_rsrvd3</v>
          </cell>
        </row>
        <row r="527">
          <cell r="K527" t="str">
            <v>can_bms4_cur_req_rsrvd2</v>
          </cell>
        </row>
        <row r="528">
          <cell r="K528" t="str">
            <v>can_bms4_cur_req_rsrvd1</v>
          </cell>
        </row>
        <row r="529">
          <cell r="K529" t="str">
            <v>can_bms3_cur_req_rsrvd8</v>
          </cell>
        </row>
        <row r="530">
          <cell r="K530" t="str">
            <v>can_bms3_cur_req_rsrvd7</v>
          </cell>
        </row>
        <row r="531">
          <cell r="K531" t="str">
            <v>can_bms3_cur_req_rsrvd6</v>
          </cell>
        </row>
        <row r="532">
          <cell r="K532" t="str">
            <v>can_bms3_cur_req_rsrvd5</v>
          </cell>
        </row>
        <row r="533">
          <cell r="K533" t="str">
            <v>can_bms3_cur_req_rsrvd4</v>
          </cell>
        </row>
        <row r="534">
          <cell r="K534" t="str">
            <v>can_bms3_cur_req_rsrvd3</v>
          </cell>
        </row>
        <row r="535">
          <cell r="K535" t="str">
            <v>can_bms3_cur_req_rsrvd2</v>
          </cell>
        </row>
        <row r="536">
          <cell r="K536" t="str">
            <v>can_bms3_cur_req_rsrvd1</v>
          </cell>
        </row>
        <row r="537">
          <cell r="K537" t="str">
            <v>can_bms2_cur_req_rsrvd8</v>
          </cell>
        </row>
        <row r="538">
          <cell r="K538" t="str">
            <v>can_bms2_cur_req_rsrvd7</v>
          </cell>
        </row>
        <row r="539">
          <cell r="K539" t="str">
            <v>can_bms2_cur_req_rsrvd6</v>
          </cell>
        </row>
        <row r="540">
          <cell r="K540" t="str">
            <v>can_bms2_cur_req_rsrvd5</v>
          </cell>
        </row>
        <row r="541">
          <cell r="K541" t="str">
            <v>can_bms2_cur_req_rsrvd4</v>
          </cell>
        </row>
        <row r="542">
          <cell r="K542" t="str">
            <v>can_bms2_cur_req_rsrvd3</v>
          </cell>
        </row>
        <row r="543">
          <cell r="K543" t="str">
            <v>can_bms2_cur_req_rsrvd2</v>
          </cell>
        </row>
        <row r="544">
          <cell r="K544" t="str">
            <v>can_bms2_cur_req_rsrvd1</v>
          </cell>
        </row>
        <row r="545">
          <cell r="K545" t="str">
            <v>can_bms1_cur_req_rsrvd8</v>
          </cell>
        </row>
        <row r="546">
          <cell r="K546" t="str">
            <v>can_bms1_cur_req_rsrvd7</v>
          </cell>
        </row>
        <row r="547">
          <cell r="K547" t="str">
            <v>can_bms1_cur_req_rsrvd6</v>
          </cell>
        </row>
        <row r="548">
          <cell r="K548" t="str">
            <v>can_bms1_cur_req_rsrvd5</v>
          </cell>
        </row>
        <row r="549">
          <cell r="K549" t="str">
            <v>can_bms1_cur_req_rsrvd4</v>
          </cell>
        </row>
        <row r="550">
          <cell r="K550" t="str">
            <v>can_bms1_cur_req_rsrvd3</v>
          </cell>
        </row>
        <row r="551">
          <cell r="K551" t="str">
            <v>can_bms1_cur_req_rsrvd2</v>
          </cell>
        </row>
        <row r="552">
          <cell r="K552" t="str">
            <v>can_bms1_cur_req_rsrvd1</v>
          </cell>
        </row>
        <row r="553">
          <cell r="K553" t="str">
            <v>can_bms5_temp_req_balance_ic</v>
          </cell>
        </row>
        <row r="554">
          <cell r="K554" t="str">
            <v>can_bms5_temp_req_rsrvd7</v>
          </cell>
        </row>
        <row r="555">
          <cell r="K555" t="str">
            <v>can_bms5_temp_req_rsrvd6</v>
          </cell>
        </row>
        <row r="556">
          <cell r="K556" t="str">
            <v>can_bms5_temp_req_rsrvd5</v>
          </cell>
        </row>
        <row r="557">
          <cell r="K557" t="str">
            <v>can_bms5_temp_req_rsrvd4</v>
          </cell>
        </row>
        <row r="558">
          <cell r="K558" t="str">
            <v>can_bms5_temp_req_rsrvd3</v>
          </cell>
        </row>
        <row r="559">
          <cell r="K559" t="str">
            <v>can_bms5_temp_req_rsrvd2</v>
          </cell>
        </row>
        <row r="560">
          <cell r="K560" t="str">
            <v>can_bms5_temp_req_rsrvd1</v>
          </cell>
        </row>
        <row r="561">
          <cell r="K561" t="str">
            <v>can_bms4_temp_req_balance_ic</v>
          </cell>
        </row>
        <row r="562">
          <cell r="K562" t="str">
            <v>can_bms4_temp_req_rsrvd7</v>
          </cell>
        </row>
        <row r="563">
          <cell r="K563" t="str">
            <v>can_bms4_temp_req_rsrvd6</v>
          </cell>
        </row>
        <row r="564">
          <cell r="K564" t="str">
            <v>can_bms4_temp_req_rsrvd5</v>
          </cell>
        </row>
        <row r="565">
          <cell r="K565" t="str">
            <v>can_bms4_temp_req_rsrvd4</v>
          </cell>
        </row>
        <row r="566">
          <cell r="K566" t="str">
            <v>can_bms4_temp_req_rsrvd3</v>
          </cell>
        </row>
        <row r="567">
          <cell r="K567" t="str">
            <v>can_bms4_temp_req_rsrvd2</v>
          </cell>
        </row>
        <row r="568">
          <cell r="K568" t="str">
            <v>can_bms4_temp_req_rsrvd1</v>
          </cell>
        </row>
        <row r="569">
          <cell r="K569" t="str">
            <v>can_bms3_temp_req_balance_ic</v>
          </cell>
        </row>
        <row r="570">
          <cell r="K570" t="str">
            <v>can_bms3_temp_req_rsrvd7</v>
          </cell>
        </row>
        <row r="571">
          <cell r="K571" t="str">
            <v>can_bms3_temp_req_rsrvd6</v>
          </cell>
        </row>
        <row r="572">
          <cell r="K572" t="str">
            <v>can_bms3_temp_req_rsrvd5</v>
          </cell>
        </row>
        <row r="573">
          <cell r="K573" t="str">
            <v>can_bms3_temp_req_rsrvd4</v>
          </cell>
        </row>
        <row r="574">
          <cell r="K574" t="str">
            <v>can_bms3_temp_req_rsrvd3</v>
          </cell>
        </row>
        <row r="575">
          <cell r="K575" t="str">
            <v>can_bms3_temp_req_rsrvd2</v>
          </cell>
        </row>
        <row r="576">
          <cell r="K576" t="str">
            <v>can_bms3_temp_req_rsrvd1</v>
          </cell>
        </row>
        <row r="577">
          <cell r="K577" t="str">
            <v>can_bms2_temp_req_balance_ic</v>
          </cell>
        </row>
        <row r="578">
          <cell r="K578" t="str">
            <v>can_bms2_temp_req_rsrvd7</v>
          </cell>
        </row>
        <row r="579">
          <cell r="K579" t="str">
            <v>can_bms2_temp_req_rsrvd6</v>
          </cell>
        </row>
        <row r="580">
          <cell r="K580" t="str">
            <v>can_bms2_temp_req_rsrvd5</v>
          </cell>
        </row>
        <row r="581">
          <cell r="K581" t="str">
            <v>can_bms2_temp_req_rsrvd4</v>
          </cell>
        </row>
        <row r="582">
          <cell r="K582" t="str">
            <v>can_bms2_temp_req_rsrvd3</v>
          </cell>
        </row>
        <row r="583">
          <cell r="K583" t="str">
            <v>can_bms2_temp_req_rsrvd2</v>
          </cell>
        </row>
        <row r="584">
          <cell r="K584" t="str">
            <v>can_bms2_temp_req_rsrvd1</v>
          </cell>
        </row>
        <row r="585">
          <cell r="K585" t="str">
            <v>can_bms1_temp_req_balance_ic</v>
          </cell>
        </row>
        <row r="586">
          <cell r="K586" t="str">
            <v>can_bms1_temp_req_rsrvd7</v>
          </cell>
        </row>
        <row r="587">
          <cell r="K587" t="str">
            <v>can_bms1_temp_req_rsrvd6</v>
          </cell>
        </row>
        <row r="588">
          <cell r="K588" t="str">
            <v>can_bms1_temp_req_rsrvd5</v>
          </cell>
        </row>
        <row r="589">
          <cell r="K589" t="str">
            <v>can_bms1_temp_req_rsrvd4</v>
          </cell>
        </row>
        <row r="590">
          <cell r="K590" t="str">
            <v>can_bms1_temp_req_rsrvd3</v>
          </cell>
        </row>
        <row r="591">
          <cell r="K591" t="str">
            <v>can_bms1_temp_req_rsrvd2</v>
          </cell>
        </row>
        <row r="592">
          <cell r="K592" t="str">
            <v>can_bms1_temp_req_rsrvd1</v>
          </cell>
        </row>
        <row r="593">
          <cell r="K593" t="str">
            <v>can_bms5_volt_req_balance_ic</v>
          </cell>
        </row>
        <row r="594">
          <cell r="K594" t="str">
            <v>can_bms5_volt_req_rsrvd7</v>
          </cell>
        </row>
        <row r="595">
          <cell r="K595" t="str">
            <v>can_bms5_volt_req_rsrvd6</v>
          </cell>
        </row>
        <row r="596">
          <cell r="K596" t="str">
            <v>can_bms5_volt_req_rsrvd5</v>
          </cell>
        </row>
        <row r="597">
          <cell r="K597" t="str">
            <v>can_bms5_volt_req_rsrvd4</v>
          </cell>
        </row>
        <row r="598">
          <cell r="K598" t="str">
            <v>can_bms5_volt_req_rsrvd3</v>
          </cell>
        </row>
        <row r="599">
          <cell r="K599" t="str">
            <v>can_bms5_volt_req_rsrvd2</v>
          </cell>
        </row>
        <row r="600">
          <cell r="K600" t="str">
            <v>can_bms5_volt_req_rsrvd1</v>
          </cell>
        </row>
        <row r="601">
          <cell r="K601" t="str">
            <v>can_bms4_volt_req_balance_ic</v>
          </cell>
        </row>
        <row r="602">
          <cell r="K602" t="str">
            <v>can_bms4_volt_req_rsrvd7</v>
          </cell>
        </row>
        <row r="603">
          <cell r="K603" t="str">
            <v>can_bms4_volt_req_rsrvd6</v>
          </cell>
        </row>
        <row r="604">
          <cell r="K604" t="str">
            <v>can_bms4_volt_req_rsrvd5</v>
          </cell>
        </row>
        <row r="605">
          <cell r="K605" t="str">
            <v>can_bms4_volt_req_rsrvd4</v>
          </cell>
        </row>
        <row r="606">
          <cell r="K606" t="str">
            <v>can_bms4_volt_req_rsrvd3</v>
          </cell>
        </row>
        <row r="607">
          <cell r="K607" t="str">
            <v>can_bms4_volt_req_rsrvd2</v>
          </cell>
        </row>
        <row r="608">
          <cell r="K608" t="str">
            <v>can_bms4_volt_req_rsrvd1</v>
          </cell>
        </row>
        <row r="609">
          <cell r="K609" t="str">
            <v>can_bms3_volt_req_balance_ic</v>
          </cell>
        </row>
        <row r="610">
          <cell r="K610" t="str">
            <v>can_bms3_volt_req_rsrvd7</v>
          </cell>
        </row>
        <row r="611">
          <cell r="K611" t="str">
            <v>can_bms3_volt_req_rsrvd6</v>
          </cell>
        </row>
        <row r="612">
          <cell r="K612" t="str">
            <v>can_bms3_volt_req_rsrvd5</v>
          </cell>
        </row>
        <row r="613">
          <cell r="K613" t="str">
            <v>can_bms3_volt_req_rsrvd4</v>
          </cell>
        </row>
        <row r="614">
          <cell r="K614" t="str">
            <v>can_bms3_volt_req_rsrvd3</v>
          </cell>
        </row>
        <row r="615">
          <cell r="K615" t="str">
            <v>can_bms3_volt_req_rsrvd2</v>
          </cell>
        </row>
        <row r="616">
          <cell r="K616" t="str">
            <v>can_bms3_volt_req_rsrvd1</v>
          </cell>
        </row>
        <row r="617">
          <cell r="K617" t="str">
            <v>can_bms2_volt_req_balance_ic</v>
          </cell>
        </row>
        <row r="618">
          <cell r="K618" t="str">
            <v>can_bms2_volt_req_rsrvd7</v>
          </cell>
        </row>
        <row r="619">
          <cell r="K619" t="str">
            <v>can_bms2_volt_req_rsrvd6</v>
          </cell>
        </row>
        <row r="620">
          <cell r="K620" t="str">
            <v>can_bms2_volt_req_rsrvd5</v>
          </cell>
        </row>
        <row r="621">
          <cell r="K621" t="str">
            <v>can_bms2_volt_req_rsrvd4</v>
          </cell>
        </row>
        <row r="622">
          <cell r="K622" t="str">
            <v>can_bms2_volt_req_rsrvd3</v>
          </cell>
        </row>
        <row r="623">
          <cell r="K623" t="str">
            <v>can_bms2_volt_req_rsrvd2</v>
          </cell>
        </row>
        <row r="624">
          <cell r="K624" t="str">
            <v>can_bms2_volt_req_rsrvd1</v>
          </cell>
        </row>
        <row r="625">
          <cell r="K625" t="str">
            <v>can_bms1_volt_req_balance_ic</v>
          </cell>
        </row>
        <row r="626">
          <cell r="K626" t="str">
            <v>can_bms1_volt_req_rsrvd7</v>
          </cell>
        </row>
        <row r="627">
          <cell r="K627" t="str">
            <v>can_bms1_volt_req_rsrvd6</v>
          </cell>
        </row>
        <row r="628">
          <cell r="K628" t="str">
            <v>can_bms1_volt_req_rsrvd5</v>
          </cell>
        </row>
        <row r="629">
          <cell r="K629" t="str">
            <v>can_bms1_volt_req_rsrvd4</v>
          </cell>
        </row>
        <row r="630">
          <cell r="K630" t="str">
            <v>can_bms1_volt_req_rsrvd3</v>
          </cell>
        </row>
        <row r="631">
          <cell r="K631" t="str">
            <v>can_bms1_volt_req_rsrvd2</v>
          </cell>
        </row>
        <row r="632">
          <cell r="K632" t="str">
            <v>can_bms1_volt_req_rsrvd1</v>
          </cell>
        </row>
        <row r="633">
          <cell r="K633" t="str">
            <v>can_bms5_balance_abc_res_sn</v>
          </cell>
        </row>
        <row r="634">
          <cell r="K634" t="str">
            <v>can_bms5_balance_abc_res_data6</v>
          </cell>
        </row>
        <row r="635">
          <cell r="K635" t="str">
            <v>can_bms5_balance_abc_res_data5</v>
          </cell>
        </row>
        <row r="636">
          <cell r="K636" t="str">
            <v>can_bms5_balance_abc_res_data4</v>
          </cell>
        </row>
        <row r="637">
          <cell r="K637" t="str">
            <v>can_bms5_balance_abc_res_data3</v>
          </cell>
        </row>
        <row r="638">
          <cell r="K638" t="str">
            <v>can_bms5_balance_abc_res_data2</v>
          </cell>
        </row>
        <row r="639">
          <cell r="K639" t="str">
            <v>can_bms5_balance_abc_res_data1</v>
          </cell>
        </row>
        <row r="640">
          <cell r="K640" t="str">
            <v>can_bms4_balance_abc_res_sn</v>
          </cell>
        </row>
        <row r="641">
          <cell r="K641" t="str">
            <v>can_bms4_balance_abc_res_data6</v>
          </cell>
        </row>
        <row r="642">
          <cell r="K642" t="str">
            <v>can_bms4_balance_abc_res_data5</v>
          </cell>
        </row>
        <row r="643">
          <cell r="K643" t="str">
            <v>can_bms4_balance_abc_res_data4</v>
          </cell>
        </row>
        <row r="644">
          <cell r="K644" t="str">
            <v>can_bms4_balance_abc_res_data3</v>
          </cell>
        </row>
        <row r="645">
          <cell r="K645" t="str">
            <v>can_bms4_balance_abc_res_data2</v>
          </cell>
        </row>
        <row r="646">
          <cell r="K646" t="str">
            <v>can_bms4_balance_abc_res_data1</v>
          </cell>
        </row>
        <row r="647">
          <cell r="K647" t="str">
            <v>can_bms3_balance_abc_res_sn</v>
          </cell>
        </row>
        <row r="648">
          <cell r="K648" t="str">
            <v>can_bms3_balance_abc_res_data6</v>
          </cell>
        </row>
        <row r="649">
          <cell r="K649" t="str">
            <v>can_bms3_balance_abc_res_data5</v>
          </cell>
        </row>
        <row r="650">
          <cell r="K650" t="str">
            <v>can_bms3_balance_abc_res_data4</v>
          </cell>
        </row>
        <row r="651">
          <cell r="K651" t="str">
            <v>can_bms3_balance_abc_res_data3</v>
          </cell>
        </row>
        <row r="652">
          <cell r="K652" t="str">
            <v>can_bms3_balance_abc_res_data2</v>
          </cell>
        </row>
        <row r="653">
          <cell r="K653" t="str">
            <v>can_bms3_balance_abc_res_data1</v>
          </cell>
        </row>
        <row r="654">
          <cell r="K654" t="str">
            <v>can_bms2_balance_abc_res_sn</v>
          </cell>
        </row>
        <row r="655">
          <cell r="K655" t="str">
            <v>can_bms2_balance_abc_res_data6</v>
          </cell>
        </row>
        <row r="656">
          <cell r="K656" t="str">
            <v>can_bms2_balance_abc_res_data5</v>
          </cell>
        </row>
        <row r="657">
          <cell r="K657" t="str">
            <v>can_bms2_balance_abc_res_data4</v>
          </cell>
        </row>
        <row r="658">
          <cell r="K658" t="str">
            <v>can_bms2_balance_abc_res_data3</v>
          </cell>
        </row>
        <row r="659">
          <cell r="K659" t="str">
            <v>can_bms2_balance_abc_res_data2</v>
          </cell>
        </row>
        <row r="660">
          <cell r="K660" t="str">
            <v>can_bms2_balance_abc_res_data1</v>
          </cell>
        </row>
        <row r="661">
          <cell r="K661" t="str">
            <v>can_bms1_balance_abc_res_sn</v>
          </cell>
        </row>
        <row r="662">
          <cell r="K662" t="str">
            <v>can_bms1_balance_abc_res_data6</v>
          </cell>
        </row>
        <row r="663">
          <cell r="K663" t="str">
            <v>can_bms1_balance_abc_res_data5</v>
          </cell>
        </row>
        <row r="664">
          <cell r="K664" t="str">
            <v>can_bms1_balance_abc_res_data4</v>
          </cell>
        </row>
        <row r="665">
          <cell r="K665" t="str">
            <v>can_bms1_balance_abc_res_data3</v>
          </cell>
        </row>
        <row r="666">
          <cell r="K666" t="str">
            <v>can_bms1_balance_abc_res_data2</v>
          </cell>
        </row>
        <row r="667">
          <cell r="K667" t="str">
            <v>can_bms1_balance_abc_res_data1</v>
          </cell>
        </row>
        <row r="668">
          <cell r="K668" t="str">
            <v>can_bms5_balance_789_res_sn</v>
          </cell>
        </row>
        <row r="669">
          <cell r="K669" t="str">
            <v>can_bms5_balance_789_res_data6</v>
          </cell>
        </row>
        <row r="670">
          <cell r="K670" t="str">
            <v>can_bms5_balance_789_res_data5</v>
          </cell>
        </row>
        <row r="671">
          <cell r="K671" t="str">
            <v>can_bms5_balance_789_res_data4</v>
          </cell>
        </row>
        <row r="672">
          <cell r="K672" t="str">
            <v>can_bms5_balance_789_res_data3</v>
          </cell>
        </row>
        <row r="673">
          <cell r="K673" t="str">
            <v>can_bms5_balance_789_res_data2</v>
          </cell>
        </row>
        <row r="674">
          <cell r="K674" t="str">
            <v>can_bms5_balance_789_res_data1</v>
          </cell>
        </row>
        <row r="675">
          <cell r="K675" t="str">
            <v>can_bms4_balance_789_res_sn</v>
          </cell>
        </row>
        <row r="676">
          <cell r="K676" t="str">
            <v>can_bms4_balance_789_res_data6</v>
          </cell>
        </row>
        <row r="677">
          <cell r="K677" t="str">
            <v>can_bms4_balance_789_res_data5</v>
          </cell>
        </row>
        <row r="678">
          <cell r="K678" t="str">
            <v>can_bms4_balance_789_res_data4</v>
          </cell>
        </row>
        <row r="679">
          <cell r="K679" t="str">
            <v>can_bms4_balance_789_res_data3</v>
          </cell>
        </row>
        <row r="680">
          <cell r="K680" t="str">
            <v>can_bms4_balance_789_res_data2</v>
          </cell>
        </row>
        <row r="681">
          <cell r="K681" t="str">
            <v>can_bms4_balance_789_res_data1</v>
          </cell>
        </row>
        <row r="682">
          <cell r="K682" t="str">
            <v>can_bms3_balance_789_res_sn</v>
          </cell>
        </row>
        <row r="683">
          <cell r="K683" t="str">
            <v>can_bms3_balance_789_res_data6</v>
          </cell>
        </row>
        <row r="684">
          <cell r="K684" t="str">
            <v>can_bms3_balance_789_res_data5</v>
          </cell>
        </row>
        <row r="685">
          <cell r="K685" t="str">
            <v>can_bms3_balance_789_res_data4</v>
          </cell>
        </row>
        <row r="686">
          <cell r="K686" t="str">
            <v>can_bms3_balance_789_res_data3</v>
          </cell>
        </row>
        <row r="687">
          <cell r="K687" t="str">
            <v>can_bms3_balance_789_res_data2</v>
          </cell>
        </row>
        <row r="688">
          <cell r="K688" t="str">
            <v>can_bms3_balance_789_res_data1</v>
          </cell>
        </row>
        <row r="689">
          <cell r="K689" t="str">
            <v>can_bms2_balance_789_res_sn</v>
          </cell>
        </row>
        <row r="690">
          <cell r="K690" t="str">
            <v>can_bms2_balance_789_res_data6</v>
          </cell>
        </row>
        <row r="691">
          <cell r="K691" t="str">
            <v>can_bms2_balance_789_res_data5</v>
          </cell>
        </row>
        <row r="692">
          <cell r="K692" t="str">
            <v>can_bms2_balance_789_res_data4</v>
          </cell>
        </row>
        <row r="693">
          <cell r="K693" t="str">
            <v>can_bms2_balance_789_res_data3</v>
          </cell>
        </row>
        <row r="694">
          <cell r="K694" t="str">
            <v>can_bms2_balance_789_res_data2</v>
          </cell>
        </row>
        <row r="695">
          <cell r="K695" t="str">
            <v>can_bms2_balance_789_res_data1</v>
          </cell>
        </row>
        <row r="696">
          <cell r="K696" t="str">
            <v>can_bms1_balance_789_res_sn</v>
          </cell>
        </row>
        <row r="697">
          <cell r="K697" t="str">
            <v>can_bms1_balance_789_res_data6</v>
          </cell>
        </row>
        <row r="698">
          <cell r="K698" t="str">
            <v>can_bms1_balance_789_res_data5</v>
          </cell>
        </row>
        <row r="699">
          <cell r="K699" t="str">
            <v>can_bms1_balance_789_res_data4</v>
          </cell>
        </row>
        <row r="700">
          <cell r="K700" t="str">
            <v>can_bms1_balance_789_res_data3</v>
          </cell>
        </row>
        <row r="701">
          <cell r="K701" t="str">
            <v>can_bms1_balance_789_res_data2</v>
          </cell>
        </row>
        <row r="702">
          <cell r="K702" t="str">
            <v>can_bms1_balance_789_res_data1</v>
          </cell>
        </row>
        <row r="703">
          <cell r="K703" t="str">
            <v>can_bms5_balance_456_res_sn</v>
          </cell>
        </row>
        <row r="704">
          <cell r="K704" t="str">
            <v>can_bms5_balance_456_res_data6</v>
          </cell>
        </row>
        <row r="705">
          <cell r="K705" t="str">
            <v>can_bms5_balance_456_res_data5</v>
          </cell>
        </row>
        <row r="706">
          <cell r="K706" t="str">
            <v>can_bms5_balance_456_res_data4</v>
          </cell>
        </row>
        <row r="707">
          <cell r="K707" t="str">
            <v>can_bms5_balance_456_res_data3</v>
          </cell>
        </row>
        <row r="708">
          <cell r="K708" t="str">
            <v>can_bms5_balance_456_res_data2</v>
          </cell>
        </row>
        <row r="709">
          <cell r="K709" t="str">
            <v>can_bms5_balance_456_res_data1</v>
          </cell>
        </row>
        <row r="710">
          <cell r="K710" t="str">
            <v>can_bms4_balance_456_res_sn</v>
          </cell>
        </row>
        <row r="711">
          <cell r="K711" t="str">
            <v>can_bms4_balance_456_res_data6</v>
          </cell>
        </row>
        <row r="712">
          <cell r="K712" t="str">
            <v>can_bms4_balance_456_res_data5</v>
          </cell>
        </row>
        <row r="713">
          <cell r="K713" t="str">
            <v>can_bms4_balance_456_res_data4</v>
          </cell>
        </row>
        <row r="714">
          <cell r="K714" t="str">
            <v>can_bms4_balance_456_res_data3</v>
          </cell>
        </row>
        <row r="715">
          <cell r="K715" t="str">
            <v>can_bms4_balance_456_res_data2</v>
          </cell>
        </row>
        <row r="716">
          <cell r="K716" t="str">
            <v>can_bms4_balance_456_res_data1</v>
          </cell>
        </row>
        <row r="717">
          <cell r="K717" t="str">
            <v>can_bms3_balance_456_res_sn</v>
          </cell>
        </row>
        <row r="718">
          <cell r="K718" t="str">
            <v>can_bms3_balance_456_res_data6</v>
          </cell>
        </row>
        <row r="719">
          <cell r="K719" t="str">
            <v>can_bms3_balance_456_res_data5</v>
          </cell>
        </row>
        <row r="720">
          <cell r="K720" t="str">
            <v>can_bms3_balance_456_res_data4</v>
          </cell>
        </row>
        <row r="721">
          <cell r="K721" t="str">
            <v>can_bms3_balance_456_res_data3</v>
          </cell>
        </row>
        <row r="722">
          <cell r="K722" t="str">
            <v>can_bms3_balance_456_res_data2</v>
          </cell>
        </row>
        <row r="723">
          <cell r="K723" t="str">
            <v>can_bms3_balance_456_res_data1</v>
          </cell>
        </row>
        <row r="724">
          <cell r="K724" t="str">
            <v>can_bms2_balance_456_res_sn</v>
          </cell>
        </row>
        <row r="725">
          <cell r="K725" t="str">
            <v>can_bms2_balance_456_res_data6</v>
          </cell>
        </row>
        <row r="726">
          <cell r="K726" t="str">
            <v>can_bms2_balance_456_res_data5</v>
          </cell>
        </row>
        <row r="727">
          <cell r="K727" t="str">
            <v>can_bms2_balance_456_res_data4</v>
          </cell>
        </row>
        <row r="728">
          <cell r="K728" t="str">
            <v>can_bms2_balance_456_res_data3</v>
          </cell>
        </row>
        <row r="729">
          <cell r="K729" t="str">
            <v>can_bms2_balance_456_res_data2</v>
          </cell>
        </row>
        <row r="730">
          <cell r="K730" t="str">
            <v>can_bms2_balance_456_res_data1</v>
          </cell>
        </row>
        <row r="731">
          <cell r="K731" t="str">
            <v>can_bms1_balance_456_res_sn</v>
          </cell>
        </row>
        <row r="732">
          <cell r="K732" t="str">
            <v>can_bms1_balance_456_res_data6</v>
          </cell>
        </row>
        <row r="733">
          <cell r="K733" t="str">
            <v>can_bms1_balance_456_res_data5</v>
          </cell>
        </row>
        <row r="734">
          <cell r="K734" t="str">
            <v>can_bms1_balance_456_res_data4</v>
          </cell>
        </row>
        <row r="735">
          <cell r="K735" t="str">
            <v>can_bms1_balance_456_res_data3</v>
          </cell>
        </row>
        <row r="736">
          <cell r="K736" t="str">
            <v>can_bms1_balance_456_res_data2</v>
          </cell>
        </row>
        <row r="737">
          <cell r="K737" t="str">
            <v>can_bms1_balance_456_res_data1</v>
          </cell>
        </row>
        <row r="738">
          <cell r="K738" t="str">
            <v>can_bms5_balance_123_res_sn</v>
          </cell>
        </row>
        <row r="739">
          <cell r="K739" t="str">
            <v>can_bms5_balance_123_res_data6</v>
          </cell>
        </row>
        <row r="740">
          <cell r="K740" t="str">
            <v>can_bms5_balance_123_res_data5</v>
          </cell>
        </row>
        <row r="741">
          <cell r="K741" t="str">
            <v>can_bms5_balance_123_res_data4</v>
          </cell>
        </row>
        <row r="742">
          <cell r="K742" t="str">
            <v>can_bms5_balance_123_res_data3</v>
          </cell>
        </row>
        <row r="743">
          <cell r="K743" t="str">
            <v>can_bms5_balance_123_res_data2</v>
          </cell>
        </row>
        <row r="744">
          <cell r="K744" t="str">
            <v>can_bms5_balance_123_res_data1</v>
          </cell>
        </row>
        <row r="745">
          <cell r="K745" t="str">
            <v>can_bms4_balance_123_res_sn</v>
          </cell>
        </row>
        <row r="746">
          <cell r="K746" t="str">
            <v>can_bms4_balance_123_res_data6</v>
          </cell>
        </row>
        <row r="747">
          <cell r="K747" t="str">
            <v>can_bms4_balance_123_res_data5</v>
          </cell>
        </row>
        <row r="748">
          <cell r="K748" t="str">
            <v>can_bms4_balance_123_res_data4</v>
          </cell>
        </row>
        <row r="749">
          <cell r="K749" t="str">
            <v>can_bms4_balance_123_res_data3</v>
          </cell>
        </row>
        <row r="750">
          <cell r="K750" t="str">
            <v>can_bms4_balance_123_res_data2</v>
          </cell>
        </row>
        <row r="751">
          <cell r="K751" t="str">
            <v>can_bms4_balance_123_res_data1</v>
          </cell>
        </row>
        <row r="752">
          <cell r="K752" t="str">
            <v>can_bms3_balance_123_res_sn</v>
          </cell>
        </row>
        <row r="753">
          <cell r="K753" t="str">
            <v>can_bms3_balance_123_res_data6</v>
          </cell>
        </row>
        <row r="754">
          <cell r="K754" t="str">
            <v>can_bms3_balance_123_res_data5</v>
          </cell>
        </row>
        <row r="755">
          <cell r="K755" t="str">
            <v>can_bms3_balance_123_res_data4</v>
          </cell>
        </row>
        <row r="756">
          <cell r="K756" t="str">
            <v>can_bms3_balance_123_res_data3</v>
          </cell>
        </row>
        <row r="757">
          <cell r="K757" t="str">
            <v>can_bms3_balance_123_res_data2</v>
          </cell>
        </row>
        <row r="758">
          <cell r="K758" t="str">
            <v>can_bms3_balance_123_res_data1</v>
          </cell>
        </row>
        <row r="759">
          <cell r="K759" t="str">
            <v>can_bms2_balance_123_res_sn</v>
          </cell>
        </row>
        <row r="760">
          <cell r="K760" t="str">
            <v>can_bms2_balance_123_res_data6</v>
          </cell>
        </row>
        <row r="761">
          <cell r="K761" t="str">
            <v>can_bms2_balance_123_res_data5</v>
          </cell>
        </row>
        <row r="762">
          <cell r="K762" t="str">
            <v>can_bms2_balance_123_res_data4</v>
          </cell>
        </row>
        <row r="763">
          <cell r="K763" t="str">
            <v>can_bms2_balance_123_res_data3</v>
          </cell>
        </row>
        <row r="764">
          <cell r="K764" t="str">
            <v>can_bms2_balance_123_res_data2</v>
          </cell>
        </row>
        <row r="765">
          <cell r="K765" t="str">
            <v>can_bms2_balance_123_res_data1</v>
          </cell>
        </row>
        <row r="766">
          <cell r="K766" t="str">
            <v>can_bms1_balance_123_res_sn</v>
          </cell>
        </row>
        <row r="767">
          <cell r="K767" t="str">
            <v>can_bms1_balance_123_res_data6</v>
          </cell>
        </row>
        <row r="768">
          <cell r="K768" t="str">
            <v>can_bms1_balance_123_res_data5</v>
          </cell>
        </row>
        <row r="769">
          <cell r="K769" t="str">
            <v>can_bms1_balance_123_res_data4</v>
          </cell>
        </row>
        <row r="770">
          <cell r="K770" t="str">
            <v>can_bms1_balance_123_res_data3</v>
          </cell>
        </row>
        <row r="771">
          <cell r="K771" t="str">
            <v>can_bms1_balance_123_res_data2</v>
          </cell>
        </row>
        <row r="772">
          <cell r="K772" t="str">
            <v>can_bms1_balance_123_res_data1</v>
          </cell>
        </row>
        <row r="773">
          <cell r="K773" t="str">
            <v>can_bms5_selfchk_ct2_res_sn</v>
          </cell>
        </row>
        <row r="774">
          <cell r="K774" t="str">
            <v>can_bms5_selfchk_ct2_res_data6</v>
          </cell>
        </row>
        <row r="775">
          <cell r="K775" t="str">
            <v>can_bms5_selfchk_ct2_res_data5</v>
          </cell>
        </row>
        <row r="776">
          <cell r="K776" t="str">
            <v>can_bms5_selfchk_ct2_res_data4</v>
          </cell>
        </row>
        <row r="777">
          <cell r="K777" t="str">
            <v>can_bms5_selfchk_ct2_res_data3</v>
          </cell>
        </row>
        <row r="778">
          <cell r="K778" t="str">
            <v>can_bms5_selfchk_ct2_res_data2</v>
          </cell>
        </row>
        <row r="779">
          <cell r="K779" t="str">
            <v>can_bms5_selfchk_ct2_res_data1</v>
          </cell>
        </row>
        <row r="780">
          <cell r="K780" t="str">
            <v>can_bms4_selfchk_ct2_res_sn</v>
          </cell>
        </row>
        <row r="781">
          <cell r="K781" t="str">
            <v>can_bms4_selfchk_ct2_res_data6</v>
          </cell>
        </row>
        <row r="782">
          <cell r="K782" t="str">
            <v>can_bms4_selfchk_ct2_res_data5</v>
          </cell>
        </row>
        <row r="783">
          <cell r="K783" t="str">
            <v>can_bms4_selfchk_ct2_res_data4</v>
          </cell>
        </row>
        <row r="784">
          <cell r="K784" t="str">
            <v>can_bms4_selfchk_ct2_res_data3</v>
          </cell>
        </row>
        <row r="785">
          <cell r="K785" t="str">
            <v>can_bms4_selfchk_ct2_res_data2</v>
          </cell>
        </row>
        <row r="786">
          <cell r="K786" t="str">
            <v>can_bms4_selfchk_ct2_res_data1</v>
          </cell>
        </row>
        <row r="787">
          <cell r="K787" t="str">
            <v>can_bms3_selfchk_ct2_res_sn</v>
          </cell>
        </row>
        <row r="788">
          <cell r="K788" t="str">
            <v>can_bms3_selfchk_ct2_res_data6</v>
          </cell>
        </row>
        <row r="789">
          <cell r="K789" t="str">
            <v>can_bms3_selfchk_ct2_res_data5</v>
          </cell>
        </row>
        <row r="790">
          <cell r="K790" t="str">
            <v>can_bms3_selfchk_ct2_res_data4</v>
          </cell>
        </row>
        <row r="791">
          <cell r="K791" t="str">
            <v>can_bms3_selfchk_ct2_res_data3</v>
          </cell>
        </row>
        <row r="792">
          <cell r="K792" t="str">
            <v>can_bms3_selfchk_ct2_res_data2</v>
          </cell>
        </row>
        <row r="793">
          <cell r="K793" t="str">
            <v>can_bms3_selfchk_ct2_res_data1</v>
          </cell>
        </row>
        <row r="794">
          <cell r="K794" t="str">
            <v>can_bms2_selfchk_ct2_res_sn</v>
          </cell>
        </row>
        <row r="795">
          <cell r="K795" t="str">
            <v>can_bms2_selfchk_ct2_res_data6</v>
          </cell>
        </row>
        <row r="796">
          <cell r="K796" t="str">
            <v>can_bms2_selfchk_ct2_res_data5</v>
          </cell>
        </row>
        <row r="797">
          <cell r="K797" t="str">
            <v>can_bms2_selfchk_ct2_res_data4</v>
          </cell>
        </row>
        <row r="798">
          <cell r="K798" t="str">
            <v>can_bms2_selfchk_ct2_res_data3</v>
          </cell>
        </row>
        <row r="799">
          <cell r="K799" t="str">
            <v>can_bms2_selfchk_ct2_res_data2</v>
          </cell>
        </row>
        <row r="800">
          <cell r="K800" t="str">
            <v>can_bms2_selfchk_ct2_res_data1</v>
          </cell>
        </row>
        <row r="801">
          <cell r="K801" t="str">
            <v>can_bms1_selfchk_ct2_res_sn</v>
          </cell>
        </row>
        <row r="802">
          <cell r="K802" t="str">
            <v>can_bms1_selfchk_ct2_res_data6</v>
          </cell>
        </row>
        <row r="803">
          <cell r="K803" t="str">
            <v>can_bms1_selfchk_ct2_res_data5</v>
          </cell>
        </row>
        <row r="804">
          <cell r="K804" t="str">
            <v>can_bms1_selfchk_ct2_res_data4</v>
          </cell>
        </row>
        <row r="805">
          <cell r="K805" t="str">
            <v>can_bms1_selfchk_ct2_res_data3</v>
          </cell>
        </row>
        <row r="806">
          <cell r="K806" t="str">
            <v>can_bms1_selfchk_ct2_res_data2</v>
          </cell>
        </row>
        <row r="807">
          <cell r="K807" t="str">
            <v>can_bms1_selfchk_ct2_res_data1</v>
          </cell>
        </row>
        <row r="808">
          <cell r="K808" t="str">
            <v>can_bms5_selfchk_vol2_res_sn</v>
          </cell>
        </row>
        <row r="809">
          <cell r="K809" t="str">
            <v>can_bms5_selfchk_vol2_res_data6</v>
          </cell>
        </row>
        <row r="810">
          <cell r="K810" t="str">
            <v>can_bms5_selfchk_vol2_res_data5</v>
          </cell>
        </row>
        <row r="811">
          <cell r="K811" t="str">
            <v>can_bms5_selfchk_vol2_res_data4</v>
          </cell>
        </row>
        <row r="812">
          <cell r="K812" t="str">
            <v>can_bms5_selfchk_vol2_res_data3</v>
          </cell>
        </row>
        <row r="813">
          <cell r="K813" t="str">
            <v>can_bms5_selfchk_vol2_res_data2</v>
          </cell>
        </row>
        <row r="814">
          <cell r="K814" t="str">
            <v>can_bms5_selfchk_vol2_res_data1</v>
          </cell>
        </row>
        <row r="815">
          <cell r="K815" t="str">
            <v>can_bms4_selfchk_vol2_res_sn</v>
          </cell>
        </row>
        <row r="816">
          <cell r="K816" t="str">
            <v>can_bms4_selfchk_vol2_res_data6</v>
          </cell>
        </row>
        <row r="817">
          <cell r="K817" t="str">
            <v>can_bms4_selfchk_vol2_res_data5</v>
          </cell>
        </row>
        <row r="818">
          <cell r="K818" t="str">
            <v>can_bms4_selfchk_vol2_res_data4</v>
          </cell>
        </row>
        <row r="819">
          <cell r="K819" t="str">
            <v>can_bms4_selfchk_vol2_res_data3</v>
          </cell>
        </row>
        <row r="820">
          <cell r="K820" t="str">
            <v>can_bms4_selfchk_vol2_res_data2</v>
          </cell>
        </row>
        <row r="821">
          <cell r="K821" t="str">
            <v>can_bms4_selfchk_vol2_res_data1</v>
          </cell>
        </row>
        <row r="822">
          <cell r="K822" t="str">
            <v>can_bms3_selfchk_vol2_res_sn</v>
          </cell>
        </row>
        <row r="823">
          <cell r="K823" t="str">
            <v>can_bms3_selfchk_vol2_res_data6</v>
          </cell>
        </row>
        <row r="824">
          <cell r="K824" t="str">
            <v>can_bms3_selfchk_vol2_res_data5</v>
          </cell>
        </row>
        <row r="825">
          <cell r="K825" t="str">
            <v>can_bms3_selfchk_vol2_res_data4</v>
          </cell>
        </row>
        <row r="826">
          <cell r="K826" t="str">
            <v>can_bms3_selfchk_vol2_res_data3</v>
          </cell>
        </row>
        <row r="827">
          <cell r="K827" t="str">
            <v>can_bms3_selfchk_vol2_res_data2</v>
          </cell>
        </row>
        <row r="828">
          <cell r="K828" t="str">
            <v>can_bms3_selfchk_vol2_res_data1</v>
          </cell>
        </row>
        <row r="829">
          <cell r="K829" t="str">
            <v>can_bms2_selfchk_vol2_res_sn</v>
          </cell>
        </row>
        <row r="830">
          <cell r="K830" t="str">
            <v>can_bms2_selfchk_vol2_res_data6</v>
          </cell>
        </row>
        <row r="831">
          <cell r="K831" t="str">
            <v>can_bms2_selfchk_vol2_res_data5</v>
          </cell>
        </row>
        <row r="832">
          <cell r="K832" t="str">
            <v>can_bms2_selfchk_vol2_res_data4</v>
          </cell>
        </row>
        <row r="833">
          <cell r="K833" t="str">
            <v>can_bms2_selfchk_vol2_res_data3</v>
          </cell>
        </row>
        <row r="834">
          <cell r="K834" t="str">
            <v>can_bms2_selfchk_vol2_res_data2</v>
          </cell>
        </row>
        <row r="835">
          <cell r="K835" t="str">
            <v>can_bms2_selfchk_vol2_res_data1</v>
          </cell>
        </row>
        <row r="836">
          <cell r="K836" t="str">
            <v>can_bms1_selfchk_vol2_res_sn</v>
          </cell>
        </row>
        <row r="837">
          <cell r="K837" t="str">
            <v>can_bms1_selfchk_vol2_res_data6</v>
          </cell>
        </row>
        <row r="838">
          <cell r="K838" t="str">
            <v>can_bms1_selfchk_vol2_res_data5</v>
          </cell>
        </row>
        <row r="839">
          <cell r="K839" t="str">
            <v>can_bms1_selfchk_vol2_res_data4</v>
          </cell>
        </row>
        <row r="840">
          <cell r="K840" t="str">
            <v>can_bms1_selfchk_vol2_res_data3</v>
          </cell>
        </row>
        <row r="841">
          <cell r="K841" t="str">
            <v>can_bms1_selfchk_vol2_res_data2</v>
          </cell>
        </row>
        <row r="842">
          <cell r="K842" t="str">
            <v>can_bms1_selfchk_vol2_res_data1</v>
          </cell>
        </row>
        <row r="843">
          <cell r="K843" t="str">
            <v>can_bms5_selfchk_ct1_res_sn</v>
          </cell>
        </row>
        <row r="844">
          <cell r="K844" t="str">
            <v>can_bms5_selfchk_ct1_res_data6</v>
          </cell>
        </row>
        <row r="845">
          <cell r="K845" t="str">
            <v>can_bms5_selfchk_ct1_res_data5</v>
          </cell>
        </row>
        <row r="846">
          <cell r="K846" t="str">
            <v>can_bms5_selfchk_ct1_res_data4</v>
          </cell>
        </row>
        <row r="847">
          <cell r="K847" t="str">
            <v>can_bms5_selfchk_ct1_res_data3</v>
          </cell>
        </row>
        <row r="848">
          <cell r="K848" t="str">
            <v>can_bms5_selfchk_ct1_res_data2</v>
          </cell>
        </row>
        <row r="849">
          <cell r="K849" t="str">
            <v>can_bms5_selfchk_ct1_res_data1</v>
          </cell>
        </row>
        <row r="850">
          <cell r="K850" t="str">
            <v>can_bms4_selfchk_ct1_res_sn</v>
          </cell>
        </row>
        <row r="851">
          <cell r="K851" t="str">
            <v>can_bms4_selfchk_ct1_res_data6</v>
          </cell>
        </row>
        <row r="852">
          <cell r="K852" t="str">
            <v>can_bms4_selfchk_ct1_res_data5</v>
          </cell>
        </row>
        <row r="853">
          <cell r="K853" t="str">
            <v>can_bms4_selfchk_ct1_res_data4</v>
          </cell>
        </row>
        <row r="854">
          <cell r="K854" t="str">
            <v>can_bms4_selfchk_ct1_res_data3</v>
          </cell>
        </row>
        <row r="855">
          <cell r="K855" t="str">
            <v>can_bms4_selfchk_ct1_res_data2</v>
          </cell>
        </row>
        <row r="856">
          <cell r="K856" t="str">
            <v>can_bms4_selfchk_ct1_res_data1</v>
          </cell>
        </row>
        <row r="857">
          <cell r="K857" t="str">
            <v>can_bms3_selfchk_ct1_res_sn</v>
          </cell>
        </row>
        <row r="858">
          <cell r="K858" t="str">
            <v>can_bms3_selfchk_ct1_res_data6</v>
          </cell>
        </row>
        <row r="859">
          <cell r="K859" t="str">
            <v>can_bms3_selfchk_ct1_res_data5</v>
          </cell>
        </row>
        <row r="860">
          <cell r="K860" t="str">
            <v>can_bms3_selfchk_ct1_res_data4</v>
          </cell>
        </row>
        <row r="861">
          <cell r="K861" t="str">
            <v>can_bms3_selfchk_ct1_res_data3</v>
          </cell>
        </row>
        <row r="862">
          <cell r="K862" t="str">
            <v>can_bms3_selfchk_ct1_res_data2</v>
          </cell>
        </row>
        <row r="863">
          <cell r="K863" t="str">
            <v>can_bms3_selfchk_ct1_res_data1</v>
          </cell>
        </row>
        <row r="864">
          <cell r="K864" t="str">
            <v>can_bms2_selfchk_ct1_res_sn</v>
          </cell>
        </row>
        <row r="865">
          <cell r="K865" t="str">
            <v>can_bms2_selfchk_ct1_res_data6</v>
          </cell>
        </row>
        <row r="866">
          <cell r="K866" t="str">
            <v>can_bms2_selfchk_ct1_res_data5</v>
          </cell>
        </row>
        <row r="867">
          <cell r="K867" t="str">
            <v>can_bms2_selfchk_ct1_res_data4</v>
          </cell>
        </row>
        <row r="868">
          <cell r="K868" t="str">
            <v>can_bms2_selfchk_ct1_res_data3</v>
          </cell>
        </row>
        <row r="869">
          <cell r="K869" t="str">
            <v>can_bms2_selfchk_ct1_res_data2</v>
          </cell>
        </row>
        <row r="870">
          <cell r="K870" t="str">
            <v>can_bms2_selfchk_ct1_res_data1</v>
          </cell>
        </row>
        <row r="871">
          <cell r="K871" t="str">
            <v>can_bms1_selfchk_ct1_res_sn</v>
          </cell>
        </row>
        <row r="872">
          <cell r="K872" t="str">
            <v>can_bms1_selfchk_ct1_res_data6</v>
          </cell>
        </row>
        <row r="873">
          <cell r="K873" t="str">
            <v>can_bms1_selfchk_ct1_res_data5</v>
          </cell>
        </row>
        <row r="874">
          <cell r="K874" t="str">
            <v>can_bms1_selfchk_ct1_res_data4</v>
          </cell>
        </row>
        <row r="875">
          <cell r="K875" t="str">
            <v>can_bms1_selfchk_ct1_res_data3</v>
          </cell>
        </row>
        <row r="876">
          <cell r="K876" t="str">
            <v>can_bms1_selfchk_ct1_res_data2</v>
          </cell>
        </row>
        <row r="877">
          <cell r="K877" t="str">
            <v>can_bms1_selfchk_ct1_res_data1</v>
          </cell>
        </row>
        <row r="878">
          <cell r="K878" t="str">
            <v>can_bms5_selfchk_vol1_res_sn</v>
          </cell>
        </row>
        <row r="879">
          <cell r="K879" t="str">
            <v>can_bms5_selfchk_vol1_res_data6</v>
          </cell>
        </row>
        <row r="880">
          <cell r="K880" t="str">
            <v>can_bms5_selfchk_vol1_res_data5</v>
          </cell>
        </row>
        <row r="881">
          <cell r="K881" t="str">
            <v>can_bms5_selfchk_vol1_res_data4</v>
          </cell>
        </row>
        <row r="882">
          <cell r="K882" t="str">
            <v>can_bms5_selfchk_vol1_res_data3</v>
          </cell>
        </row>
        <row r="883">
          <cell r="K883" t="str">
            <v>can_bms5_selfchk_vol1_res_data2</v>
          </cell>
        </row>
        <row r="884">
          <cell r="K884" t="str">
            <v>can_bms5_selfchk_vol1_res_data1</v>
          </cell>
        </row>
        <row r="885">
          <cell r="K885" t="str">
            <v>can_bms4_selfchk_vol1_res_sn</v>
          </cell>
        </row>
        <row r="886">
          <cell r="K886" t="str">
            <v>can_bms4_selfchk_vol1_res_data6</v>
          </cell>
        </row>
        <row r="887">
          <cell r="K887" t="str">
            <v>can_bms4_selfchk_vol1_res_data5</v>
          </cell>
        </row>
        <row r="888">
          <cell r="K888" t="str">
            <v>can_bms4_selfchk_vol1_res_data4</v>
          </cell>
        </row>
        <row r="889">
          <cell r="K889" t="str">
            <v>can_bms4_selfchk_vol1_res_data3</v>
          </cell>
        </row>
        <row r="890">
          <cell r="K890" t="str">
            <v>can_bms4_selfchk_vol1_res_data2</v>
          </cell>
        </row>
        <row r="891">
          <cell r="K891" t="str">
            <v>can_bms4_selfchk_vol1_res_data1</v>
          </cell>
        </row>
        <row r="892">
          <cell r="K892" t="str">
            <v>can_bms3_selfchk_vol1_res_sn</v>
          </cell>
        </row>
        <row r="893">
          <cell r="K893" t="str">
            <v>can_bms3_selfchk_vol1_res_data6</v>
          </cell>
        </row>
        <row r="894">
          <cell r="K894" t="str">
            <v>can_bms3_selfchk_vol1_res_data5</v>
          </cell>
        </row>
        <row r="895">
          <cell r="K895" t="str">
            <v>can_bms3_selfchk_vol1_res_data4</v>
          </cell>
        </row>
        <row r="896">
          <cell r="K896" t="str">
            <v>can_bms3_selfchk_vol1_res_data3</v>
          </cell>
        </row>
        <row r="897">
          <cell r="K897" t="str">
            <v>can_bms3_selfchk_vol1_res_data2</v>
          </cell>
        </row>
        <row r="898">
          <cell r="K898" t="str">
            <v>can_bms3_selfchk_vol1_res_data1</v>
          </cell>
        </row>
        <row r="899">
          <cell r="K899" t="str">
            <v>can_bms2_selfchk_vol1_res_sn</v>
          </cell>
        </row>
        <row r="900">
          <cell r="K900" t="str">
            <v>can_bms2_selfchk_vol1_res_data6</v>
          </cell>
        </row>
        <row r="901">
          <cell r="K901" t="str">
            <v>can_bms2_selfchk_vol1_res_data5</v>
          </cell>
        </row>
        <row r="902">
          <cell r="K902" t="str">
            <v>can_bms2_selfchk_vol1_res_data4</v>
          </cell>
        </row>
        <row r="903">
          <cell r="K903" t="str">
            <v>can_bms2_selfchk_vol1_res_data3</v>
          </cell>
        </row>
        <row r="904">
          <cell r="K904" t="str">
            <v>can_bms2_selfchk_vol1_res_data2</v>
          </cell>
        </row>
        <row r="905">
          <cell r="K905" t="str">
            <v>can_bms2_selfchk_vol1_res_data1</v>
          </cell>
        </row>
        <row r="906">
          <cell r="K906" t="str">
            <v>can_bms1_selfchk_vol1_res_sn</v>
          </cell>
        </row>
        <row r="907">
          <cell r="K907" t="str">
            <v>can_bms1_selfchk_vol1_res_data6</v>
          </cell>
        </row>
        <row r="908">
          <cell r="K908" t="str">
            <v>can_bms1_selfchk_vol1_res_data5</v>
          </cell>
        </row>
        <row r="909">
          <cell r="K909" t="str">
            <v>can_bms1_selfchk_vol1_res_data4</v>
          </cell>
        </row>
        <row r="910">
          <cell r="K910" t="str">
            <v>can_bms1_selfchk_vol1_res_data3</v>
          </cell>
        </row>
        <row r="911">
          <cell r="K911" t="str">
            <v>can_bms1_selfchk_vol1_res_data2</v>
          </cell>
        </row>
        <row r="912">
          <cell r="K912" t="str">
            <v>can_bms1_selfchk_vol1_res_data1</v>
          </cell>
        </row>
        <row r="913">
          <cell r="K913" t="str">
            <v>can_bms5_openwire_pd_res_sn</v>
          </cell>
        </row>
        <row r="914">
          <cell r="K914" t="str">
            <v>can_bms5_openwire_pd_res_data6</v>
          </cell>
        </row>
        <row r="915">
          <cell r="K915" t="str">
            <v>can_bms5_openwire_pd_res_data5</v>
          </cell>
        </row>
        <row r="916">
          <cell r="K916" t="str">
            <v>can_bms5_openwire_pd_res_data4</v>
          </cell>
        </row>
        <row r="917">
          <cell r="K917" t="str">
            <v>can_bms5_openwire_pd_res_data3</v>
          </cell>
        </row>
        <row r="918">
          <cell r="K918" t="str">
            <v>can_bms5_openwire_pd_res_data2</v>
          </cell>
        </row>
        <row r="919">
          <cell r="K919" t="str">
            <v>can_bms5_openwire_pd_res_data1</v>
          </cell>
        </row>
        <row r="920">
          <cell r="K920" t="str">
            <v>can_bms4_openwire_pd_res_sn</v>
          </cell>
        </row>
        <row r="921">
          <cell r="K921" t="str">
            <v>can_bms4_openwire_pd_res_data6</v>
          </cell>
        </row>
        <row r="922">
          <cell r="K922" t="str">
            <v>can_bms4_openwire_pd_res_data5</v>
          </cell>
        </row>
        <row r="923">
          <cell r="K923" t="str">
            <v>can_bms4_openwire_pd_res_data4</v>
          </cell>
        </row>
        <row r="924">
          <cell r="K924" t="str">
            <v>can_bms4_openwire_pd_res_data3</v>
          </cell>
        </row>
        <row r="925">
          <cell r="K925" t="str">
            <v>can_bms4_openwire_pd_res_data2</v>
          </cell>
        </row>
        <row r="926">
          <cell r="K926" t="str">
            <v>can_bms4_openwire_pd_res_data1</v>
          </cell>
        </row>
        <row r="927">
          <cell r="K927" t="str">
            <v>can_bms3_openwire_pd_res_sn</v>
          </cell>
        </row>
        <row r="928">
          <cell r="K928" t="str">
            <v>can_bms3_openwire_pd_res_data6</v>
          </cell>
        </row>
        <row r="929">
          <cell r="K929" t="str">
            <v>can_bms3_openwire_pd_res_data5</v>
          </cell>
        </row>
        <row r="930">
          <cell r="K930" t="str">
            <v>can_bms3_openwire_pd_res_data4</v>
          </cell>
        </row>
        <row r="931">
          <cell r="K931" t="str">
            <v>can_bms3_openwire_pd_res_data3</v>
          </cell>
        </row>
        <row r="932">
          <cell r="K932" t="str">
            <v>can_bms3_openwire_pd_res_data2</v>
          </cell>
        </row>
        <row r="933">
          <cell r="K933" t="str">
            <v>can_bms3_openwire_pd_res_data1</v>
          </cell>
        </row>
        <row r="934">
          <cell r="K934" t="str">
            <v>can_bms2_openwire_pd_res_sn</v>
          </cell>
        </row>
        <row r="935">
          <cell r="K935" t="str">
            <v>can_bms2_openwire_pd_res_data6</v>
          </cell>
        </row>
        <row r="936">
          <cell r="K936" t="str">
            <v>can_bms2_openwire_pd_res_data5</v>
          </cell>
        </row>
        <row r="937">
          <cell r="K937" t="str">
            <v>can_bms2_openwire_pd_res_data4</v>
          </cell>
        </row>
        <row r="938">
          <cell r="K938" t="str">
            <v>can_bms2_openwire_pd_res_data3</v>
          </cell>
        </row>
        <row r="939">
          <cell r="K939" t="str">
            <v>can_bms2_openwire_pd_res_data2</v>
          </cell>
        </row>
        <row r="940">
          <cell r="K940" t="str">
            <v>can_bms2_openwire_pd_res_data1</v>
          </cell>
        </row>
        <row r="941">
          <cell r="K941" t="str">
            <v>can_bms1_openwire_pd_res_sn</v>
          </cell>
        </row>
        <row r="942">
          <cell r="K942" t="str">
            <v>can_bms1_openwire_pd_res_data6</v>
          </cell>
        </row>
        <row r="943">
          <cell r="K943" t="str">
            <v>can_bms1_openwire_pd_res_data5</v>
          </cell>
        </row>
        <row r="944">
          <cell r="K944" t="str">
            <v>can_bms1_openwire_pd_res_data4</v>
          </cell>
        </row>
        <row r="945">
          <cell r="K945" t="str">
            <v>can_bms1_openwire_pd_res_data3</v>
          </cell>
        </row>
        <row r="946">
          <cell r="K946" t="str">
            <v>can_bms1_openwire_pd_res_data2</v>
          </cell>
        </row>
        <row r="947">
          <cell r="K947" t="str">
            <v>can_bms1_openwire_pd_res_data1</v>
          </cell>
        </row>
        <row r="948">
          <cell r="K948" t="str">
            <v>can_bms5_openwire_pu_res_sn</v>
          </cell>
        </row>
        <row r="949">
          <cell r="K949" t="str">
            <v>can_bms5_openwire_pu_res_data6</v>
          </cell>
        </row>
        <row r="950">
          <cell r="K950" t="str">
            <v>can_bms5_openwire_pu_res_data5</v>
          </cell>
        </row>
        <row r="951">
          <cell r="K951" t="str">
            <v>can_bms5_openwire_pu_res_data4</v>
          </cell>
        </row>
        <row r="952">
          <cell r="K952" t="str">
            <v>can_bms5_openwire_pu_res_data3</v>
          </cell>
        </row>
        <row r="953">
          <cell r="K953" t="str">
            <v>can_bms5_openwire_pu_res_data2</v>
          </cell>
        </row>
        <row r="954">
          <cell r="K954" t="str">
            <v>can_bms5_openwire_pu_res_data1</v>
          </cell>
        </row>
        <row r="955">
          <cell r="K955" t="str">
            <v>can_bms4_openwire_pu_res_sn</v>
          </cell>
        </row>
        <row r="956">
          <cell r="K956" t="str">
            <v>can_bms4_openwire_pu_res_data6</v>
          </cell>
        </row>
        <row r="957">
          <cell r="K957" t="str">
            <v>can_bms4_openwire_pu_res_data5</v>
          </cell>
        </row>
        <row r="958">
          <cell r="K958" t="str">
            <v>can_bms4_openwire_pu_res_data4</v>
          </cell>
        </row>
        <row r="959">
          <cell r="K959" t="str">
            <v>can_bms4_openwire_pu_res_data3</v>
          </cell>
        </row>
        <row r="960">
          <cell r="K960" t="str">
            <v>can_bms4_openwire_pu_res_data2</v>
          </cell>
        </row>
        <row r="961">
          <cell r="K961" t="str">
            <v>can_bms4_openwire_pu_res_data1</v>
          </cell>
        </row>
        <row r="962">
          <cell r="K962" t="str">
            <v>can_bms3_openwire_pu_res_sn</v>
          </cell>
        </row>
        <row r="963">
          <cell r="K963" t="str">
            <v>can_bms3_openwire_pu_res_data6</v>
          </cell>
        </row>
        <row r="964">
          <cell r="K964" t="str">
            <v>can_bms3_openwire_pu_res_data5</v>
          </cell>
        </row>
        <row r="965">
          <cell r="K965" t="str">
            <v>can_bms3_openwire_pu_res_data4</v>
          </cell>
        </row>
        <row r="966">
          <cell r="K966" t="str">
            <v>can_bms3_openwire_pu_res_data3</v>
          </cell>
        </row>
        <row r="967">
          <cell r="K967" t="str">
            <v>can_bms3_openwire_pu_res_data2</v>
          </cell>
        </row>
        <row r="968">
          <cell r="K968" t="str">
            <v>can_bms3_openwire_pu_res_data1</v>
          </cell>
        </row>
        <row r="969">
          <cell r="K969" t="str">
            <v>can_bms2_openwire_pu_res_sn</v>
          </cell>
        </row>
        <row r="970">
          <cell r="K970" t="str">
            <v>can_bms2_openwire_pu_res_data6</v>
          </cell>
        </row>
        <row r="971">
          <cell r="K971" t="str">
            <v>can_bms2_openwire_pu_res_data5</v>
          </cell>
        </row>
        <row r="972">
          <cell r="K972" t="str">
            <v>can_bms2_openwire_pu_res_data4</v>
          </cell>
        </row>
        <row r="973">
          <cell r="K973" t="str">
            <v>can_bms2_openwire_pu_res_data3</v>
          </cell>
        </row>
        <row r="974">
          <cell r="K974" t="str">
            <v>can_bms2_openwire_pu_res_data2</v>
          </cell>
        </row>
        <row r="975">
          <cell r="K975" t="str">
            <v>can_bms2_openwire_pu_res_data1</v>
          </cell>
        </row>
        <row r="976">
          <cell r="K976" t="str">
            <v>can_bms1_openwire_pu_res_sn</v>
          </cell>
        </row>
        <row r="977">
          <cell r="K977" t="str">
            <v>can_bms1_openwire_pu_res_data6</v>
          </cell>
        </row>
        <row r="978">
          <cell r="K978" t="str">
            <v>can_bms1_openwire_pu_res_data5</v>
          </cell>
        </row>
        <row r="979">
          <cell r="K979" t="str">
            <v>can_bms1_openwire_pu_res_data4</v>
          </cell>
        </row>
        <row r="980">
          <cell r="K980" t="str">
            <v>can_bms1_openwire_pu_res_data3</v>
          </cell>
        </row>
        <row r="981">
          <cell r="K981" t="str">
            <v>can_bms1_openwire_pu_res_data2</v>
          </cell>
        </row>
        <row r="982">
          <cell r="K982" t="str">
            <v>can_bms1_openwire_pu_res_data1</v>
          </cell>
        </row>
        <row r="983">
          <cell r="K983" t="str">
            <v>can_bms5_cur_res_sn</v>
          </cell>
        </row>
        <row r="984">
          <cell r="K984" t="str">
            <v>can_bms5_cur_res_data6</v>
          </cell>
        </row>
        <row r="985">
          <cell r="K985" t="str">
            <v>can_bms5_cur_res_data5</v>
          </cell>
        </row>
        <row r="986">
          <cell r="K986" t="str">
            <v>can_bms5_cur_res_data4</v>
          </cell>
        </row>
        <row r="987">
          <cell r="K987" t="str">
            <v>can_bms5_cur_res_data3</v>
          </cell>
        </row>
        <row r="988">
          <cell r="K988" t="str">
            <v>can_bms5_cur_res_data2</v>
          </cell>
        </row>
        <row r="989">
          <cell r="K989" t="str">
            <v>can_bms5_cur_res_data1</v>
          </cell>
        </row>
        <row r="990">
          <cell r="K990" t="str">
            <v>can_bms4_cur_res_sn</v>
          </cell>
        </row>
        <row r="991">
          <cell r="K991" t="str">
            <v>can_bms4_cur_res_data6</v>
          </cell>
        </row>
        <row r="992">
          <cell r="K992" t="str">
            <v>can_bms4_cur_res_data5</v>
          </cell>
        </row>
        <row r="993">
          <cell r="K993" t="str">
            <v>can_bms4_cur_res_data4</v>
          </cell>
        </row>
        <row r="994">
          <cell r="K994" t="str">
            <v>can_bms4_cur_res_data3</v>
          </cell>
        </row>
        <row r="995">
          <cell r="K995" t="str">
            <v>can_bms4_cur_res_data2</v>
          </cell>
        </row>
        <row r="996">
          <cell r="K996" t="str">
            <v>can_bms4_cur_res_data1</v>
          </cell>
        </row>
        <row r="997">
          <cell r="K997" t="str">
            <v>can_bms3_cur_res_sn</v>
          </cell>
        </row>
        <row r="998">
          <cell r="K998" t="str">
            <v>can_bms3_cur_res_data6</v>
          </cell>
        </row>
        <row r="999">
          <cell r="K999" t="str">
            <v>can_bms3_cur_res_data5</v>
          </cell>
        </row>
        <row r="1000">
          <cell r="K1000" t="str">
            <v>can_bms3_cur_res_data4</v>
          </cell>
        </row>
        <row r="1001">
          <cell r="K1001" t="str">
            <v>can_bms3_cur_res_data3</v>
          </cell>
        </row>
        <row r="1002">
          <cell r="K1002" t="str">
            <v>can_bms3_cur_res_data2</v>
          </cell>
        </row>
        <row r="1003">
          <cell r="K1003" t="str">
            <v>can_bms3_cur_res_data1</v>
          </cell>
        </row>
        <row r="1004">
          <cell r="K1004" t="str">
            <v>can_bms2_cur_res_sn</v>
          </cell>
        </row>
        <row r="1005">
          <cell r="K1005" t="str">
            <v>can_bms2_cur_res_data6</v>
          </cell>
        </row>
        <row r="1006">
          <cell r="K1006" t="str">
            <v>can_bms2_cur_res_data5</v>
          </cell>
        </row>
        <row r="1007">
          <cell r="K1007" t="str">
            <v>can_bms2_cur_res_data4</v>
          </cell>
        </row>
        <row r="1008">
          <cell r="K1008" t="str">
            <v>can_bms2_cur_res_data3</v>
          </cell>
        </row>
        <row r="1009">
          <cell r="K1009" t="str">
            <v>can_bms2_cur_res_data2</v>
          </cell>
        </row>
        <row r="1010">
          <cell r="K1010" t="str">
            <v>can_bms2_cur_res_data1</v>
          </cell>
        </row>
        <row r="1011">
          <cell r="K1011" t="str">
            <v>can_bms1_cur_res_sn</v>
          </cell>
        </row>
        <row r="1012">
          <cell r="K1012" t="str">
            <v>can_bms1_cur_res_data6</v>
          </cell>
        </row>
        <row r="1013">
          <cell r="K1013" t="str">
            <v>can_bms1_cur_res_data5</v>
          </cell>
        </row>
        <row r="1014">
          <cell r="K1014" t="str">
            <v>can_bms1_cur_res_data4</v>
          </cell>
        </row>
        <row r="1015">
          <cell r="K1015" t="str">
            <v>can_bms1_cur_res_data3</v>
          </cell>
        </row>
        <row r="1016">
          <cell r="K1016" t="str">
            <v>can_bms1_cur_res_data2</v>
          </cell>
        </row>
        <row r="1017">
          <cell r="K1017" t="str">
            <v>can_bms1_cur_res_data1</v>
          </cell>
        </row>
        <row r="1018">
          <cell r="K1018" t="str">
            <v>can_bms5_temp_res_sn</v>
          </cell>
        </row>
        <row r="1019">
          <cell r="K1019" t="str">
            <v>can_bms5_temp_res_data6</v>
          </cell>
        </row>
        <row r="1020">
          <cell r="K1020" t="str">
            <v>can_bms5_temp_res_data5</v>
          </cell>
        </row>
        <row r="1021">
          <cell r="K1021" t="str">
            <v>can_bms5_temp_res_data4</v>
          </cell>
        </row>
        <row r="1022">
          <cell r="K1022" t="str">
            <v>can_bms5_temp_res_data3</v>
          </cell>
        </row>
        <row r="1023">
          <cell r="K1023" t="str">
            <v>can_bms5_temp_res_data2</v>
          </cell>
        </row>
        <row r="1024">
          <cell r="K1024" t="str">
            <v>can_bms5_temp_res_data1</v>
          </cell>
        </row>
        <row r="1025">
          <cell r="K1025" t="str">
            <v>can_bms4_temp_res_sn</v>
          </cell>
        </row>
        <row r="1026">
          <cell r="K1026" t="str">
            <v>can_bms4_temp_res_data6</v>
          </cell>
        </row>
        <row r="1027">
          <cell r="K1027" t="str">
            <v>can_bms4_temp_res_data5</v>
          </cell>
        </row>
        <row r="1028">
          <cell r="K1028" t="str">
            <v>can_bms4_temp_res_data4</v>
          </cell>
        </row>
        <row r="1029">
          <cell r="K1029" t="str">
            <v>can_bms4_temp_res_data3</v>
          </cell>
        </row>
        <row r="1030">
          <cell r="K1030" t="str">
            <v>can_bms4_temp_res_data2</v>
          </cell>
        </row>
        <row r="1031">
          <cell r="K1031" t="str">
            <v>can_bms4_temp_res_data1</v>
          </cell>
        </row>
        <row r="1032">
          <cell r="K1032" t="str">
            <v>can_bms3_temp_res_sn</v>
          </cell>
        </row>
        <row r="1033">
          <cell r="K1033" t="str">
            <v>can_bms3_temp_res_data6</v>
          </cell>
        </row>
        <row r="1034">
          <cell r="K1034" t="str">
            <v>can_bms3_temp_res_data5</v>
          </cell>
        </row>
        <row r="1035">
          <cell r="K1035" t="str">
            <v>can_bms3_temp_res_data4</v>
          </cell>
        </row>
        <row r="1036">
          <cell r="K1036" t="str">
            <v>can_bms3_temp_res_data3</v>
          </cell>
        </row>
        <row r="1037">
          <cell r="K1037" t="str">
            <v>can_bms3_temp_res_data2</v>
          </cell>
        </row>
        <row r="1038">
          <cell r="K1038" t="str">
            <v>can_bms3_temp_res_data1</v>
          </cell>
        </row>
        <row r="1039">
          <cell r="K1039" t="str">
            <v>can_bms2_temp_res_sn</v>
          </cell>
        </row>
        <row r="1040">
          <cell r="K1040" t="str">
            <v>can_bms2_temp_res_data6</v>
          </cell>
        </row>
        <row r="1041">
          <cell r="K1041" t="str">
            <v>can_bms2_temp_res_data5</v>
          </cell>
        </row>
        <row r="1042">
          <cell r="K1042" t="str">
            <v>can_bms2_temp_res_data4</v>
          </cell>
        </row>
        <row r="1043">
          <cell r="K1043" t="str">
            <v>can_bms2_temp_res_data3</v>
          </cell>
        </row>
        <row r="1044">
          <cell r="K1044" t="str">
            <v>can_bms2_temp_res_data2</v>
          </cell>
        </row>
        <row r="1045">
          <cell r="K1045" t="str">
            <v>can_bms2_temp_res_data1</v>
          </cell>
        </row>
        <row r="1046">
          <cell r="K1046" t="str">
            <v>can_bms1_temp_res_sn</v>
          </cell>
        </row>
        <row r="1047">
          <cell r="K1047" t="str">
            <v>can_bms1_temp_res_data6</v>
          </cell>
        </row>
        <row r="1048">
          <cell r="K1048" t="str">
            <v>can_bms1_temp_res_data5</v>
          </cell>
        </row>
        <row r="1049">
          <cell r="K1049" t="str">
            <v>can_bms1_temp_res_data4</v>
          </cell>
        </row>
        <row r="1050">
          <cell r="K1050" t="str">
            <v>can_bms1_temp_res_data3</v>
          </cell>
        </row>
        <row r="1051">
          <cell r="K1051" t="str">
            <v>can_bms1_temp_res_data2</v>
          </cell>
        </row>
        <row r="1052">
          <cell r="K1052" t="str">
            <v>can_bms1_temp_res_data1</v>
          </cell>
        </row>
        <row r="1053">
          <cell r="K1053" t="str">
            <v>can_bms5_volt_res_sn</v>
          </cell>
        </row>
        <row r="1054">
          <cell r="K1054" t="str">
            <v>can_bms5_volt_res_data6</v>
          </cell>
        </row>
        <row r="1055">
          <cell r="K1055" t="str">
            <v>can_bms5_volt_res_data5</v>
          </cell>
        </row>
        <row r="1056">
          <cell r="K1056" t="str">
            <v>can_bms5_volt_res_data4</v>
          </cell>
        </row>
        <row r="1057">
          <cell r="K1057" t="str">
            <v>can_bms5_volt_res_data3</v>
          </cell>
        </row>
        <row r="1058">
          <cell r="K1058" t="str">
            <v>can_bms5_volt_res_data2</v>
          </cell>
        </row>
        <row r="1059">
          <cell r="K1059" t="str">
            <v>can_bms5_volt_res_data1</v>
          </cell>
        </row>
        <row r="1060">
          <cell r="K1060" t="str">
            <v>can_bms4_volt_res_sn</v>
          </cell>
        </row>
        <row r="1061">
          <cell r="K1061" t="str">
            <v>can_bms4_volt_res_data6</v>
          </cell>
        </row>
        <row r="1062">
          <cell r="K1062" t="str">
            <v>can_bms4_volt_res_data5</v>
          </cell>
        </row>
        <row r="1063">
          <cell r="K1063" t="str">
            <v>can_bms4_volt_res_data4</v>
          </cell>
        </row>
        <row r="1064">
          <cell r="K1064" t="str">
            <v>can_bms4_volt_res_data3</v>
          </cell>
        </row>
        <row r="1065">
          <cell r="K1065" t="str">
            <v>can_bms4_volt_res_data2</v>
          </cell>
        </row>
        <row r="1066">
          <cell r="K1066" t="str">
            <v>can_bms4_volt_res_data1</v>
          </cell>
        </row>
        <row r="1067">
          <cell r="K1067" t="str">
            <v>can_bms3_volt_res_sn</v>
          </cell>
        </row>
        <row r="1068">
          <cell r="K1068" t="str">
            <v>can_bms3_volt_res_data6</v>
          </cell>
        </row>
        <row r="1069">
          <cell r="K1069" t="str">
            <v>can_bms3_volt_res_data5</v>
          </cell>
        </row>
        <row r="1070">
          <cell r="K1070" t="str">
            <v>can_bms3_volt_res_data4</v>
          </cell>
        </row>
        <row r="1071">
          <cell r="K1071" t="str">
            <v>can_bms3_volt_res_data3</v>
          </cell>
        </row>
        <row r="1072">
          <cell r="K1072" t="str">
            <v>can_bms3_volt_res_data2</v>
          </cell>
        </row>
        <row r="1073">
          <cell r="K1073" t="str">
            <v>can_bms3_volt_res_data1</v>
          </cell>
        </row>
        <row r="1074">
          <cell r="K1074" t="str">
            <v>can_bms2_volt_res_sn</v>
          </cell>
        </row>
        <row r="1075">
          <cell r="K1075" t="str">
            <v>can_bms2_volt_res_data6</v>
          </cell>
        </row>
        <row r="1076">
          <cell r="K1076" t="str">
            <v>can_bms2_volt_res_data5</v>
          </cell>
        </row>
        <row r="1077">
          <cell r="K1077" t="str">
            <v>can_bms2_volt_res_data4</v>
          </cell>
        </row>
        <row r="1078">
          <cell r="K1078" t="str">
            <v>can_bms2_volt_res_data3</v>
          </cell>
        </row>
        <row r="1079">
          <cell r="K1079" t="str">
            <v>can_bms2_volt_res_data2</v>
          </cell>
        </row>
        <row r="1080">
          <cell r="K1080" t="str">
            <v>can_bms2_volt_res_data1</v>
          </cell>
        </row>
        <row r="1081">
          <cell r="K1081" t="str">
            <v>can_bms1_volt_res_sn</v>
          </cell>
        </row>
        <row r="1082">
          <cell r="K1082" t="str">
            <v>can_bms1_volt_res_data6</v>
          </cell>
        </row>
        <row r="1083">
          <cell r="K1083" t="str">
            <v>can_bms1_volt_res_data5</v>
          </cell>
        </row>
        <row r="1084">
          <cell r="K1084" t="str">
            <v>can_bms1_volt_res_data4</v>
          </cell>
        </row>
        <row r="1085">
          <cell r="K1085" t="str">
            <v>can_bms1_volt_res_data3</v>
          </cell>
        </row>
        <row r="1086">
          <cell r="K1086" t="str">
            <v>can_bms1_volt_res_data2</v>
          </cell>
        </row>
        <row r="1087">
          <cell r="K1087" t="str">
            <v>can_bms1_volt_res_data1</v>
          </cell>
        </row>
      </sheetData>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C86"/>
  <sheetViews>
    <sheetView showGridLines="0" tabSelected="1" workbookViewId="0"/>
  </sheetViews>
  <sheetFormatPr defaultColWidth="0" defaultRowHeight="13.5"/>
  <cols>
    <col min="1" max="2" width="4" customWidth="1"/>
    <col min="3" max="3" width="4" style="7" customWidth="1"/>
    <col min="4" max="4" width="4" customWidth="1"/>
    <col min="5" max="5" width="4" style="4" customWidth="1"/>
    <col min="6" max="29" width="4" customWidth="1"/>
    <col min="30" max="16384" width="4" hidden="1"/>
  </cols>
  <sheetData>
    <row r="2" spans="2:7" s="65" customFormat="1" ht="18.75">
      <c r="B2" s="64" t="s">
        <v>200</v>
      </c>
      <c r="C2" s="64"/>
    </row>
    <row r="3" spans="2:7">
      <c r="C3" s="7" t="s">
        <v>220</v>
      </c>
    </row>
    <row r="4" spans="2:7">
      <c r="D4" t="s">
        <v>253</v>
      </c>
    </row>
    <row r="5" spans="2:7">
      <c r="E5" s="4" t="s">
        <v>255</v>
      </c>
    </row>
    <row r="6" spans="2:7">
      <c r="E6" s="4" t="s">
        <v>256</v>
      </c>
    </row>
    <row r="7" spans="2:7">
      <c r="E7" s="4" t="s">
        <v>252</v>
      </c>
    </row>
    <row r="8" spans="2:7">
      <c r="D8" s="4" t="s">
        <v>254</v>
      </c>
    </row>
    <row r="9" spans="2:7">
      <c r="D9" s="4" t="s">
        <v>257</v>
      </c>
    </row>
    <row r="10" spans="2:7">
      <c r="D10" s="7"/>
      <c r="F10" s="4"/>
    </row>
    <row r="11" spans="2:7">
      <c r="C11" s="7" t="s">
        <v>221</v>
      </c>
    </row>
    <row r="12" spans="2:7">
      <c r="D12" s="71" t="s">
        <v>228</v>
      </c>
    </row>
    <row r="13" spans="2:7">
      <c r="D13" s="8"/>
      <c r="E13" s="4" t="s">
        <v>230</v>
      </c>
    </row>
    <row r="14" spans="2:7">
      <c r="D14" s="8"/>
      <c r="G14" s="3"/>
    </row>
    <row r="15" spans="2:7">
      <c r="D15" s="8"/>
      <c r="E15" s="2" t="s">
        <v>34</v>
      </c>
      <c r="G15" s="3"/>
    </row>
    <row r="16" spans="2:7">
      <c r="D16" s="8"/>
      <c r="F16" t="s">
        <v>206</v>
      </c>
      <c r="G16" s="3"/>
    </row>
    <row r="17" spans="3:7">
      <c r="D17" s="8"/>
      <c r="G17" s="3"/>
    </row>
    <row r="18" spans="3:7">
      <c r="D18" s="8"/>
      <c r="E18" s="8"/>
      <c r="F18" s="2" t="s">
        <v>65</v>
      </c>
      <c r="G18" s="9" t="s">
        <v>225</v>
      </c>
    </row>
    <row r="19" spans="3:7" s="4" customFormat="1">
      <c r="C19" s="66"/>
      <c r="D19" s="67"/>
      <c r="E19" s="67"/>
      <c r="G19" s="30" t="s">
        <v>202</v>
      </c>
    </row>
    <row r="20" spans="3:7">
      <c r="D20" s="8"/>
      <c r="E20" s="8"/>
      <c r="G20" s="2"/>
    </row>
    <row r="21" spans="3:7">
      <c r="D21" s="8"/>
      <c r="E21" s="8"/>
      <c r="F21" s="2" t="s">
        <v>66</v>
      </c>
      <c r="G21" s="2" t="s">
        <v>119</v>
      </c>
    </row>
    <row r="22" spans="3:7">
      <c r="D22" s="8"/>
      <c r="E22" s="8"/>
      <c r="F22" s="2"/>
      <c r="G22" s="68" t="s">
        <v>268</v>
      </c>
    </row>
    <row r="23" spans="3:7">
      <c r="D23" s="8"/>
      <c r="E23" s="8"/>
      <c r="F23" s="2"/>
      <c r="G23" s="68" t="s">
        <v>267</v>
      </c>
    </row>
    <row r="24" spans="3:7">
      <c r="D24" s="8"/>
      <c r="E24" s="8"/>
      <c r="F24" s="2"/>
      <c r="G24" s="4"/>
    </row>
    <row r="25" spans="3:7">
      <c r="D25" s="8"/>
      <c r="E25" s="8"/>
      <c r="F25" s="2" t="s">
        <v>67</v>
      </c>
      <c r="G25" s="2" t="s">
        <v>123</v>
      </c>
    </row>
    <row r="26" spans="3:7">
      <c r="D26" s="8"/>
      <c r="E26" s="8"/>
      <c r="F26" s="2"/>
      <c r="G26" s="68" t="s">
        <v>199</v>
      </c>
    </row>
    <row r="27" spans="3:7">
      <c r="D27" s="8"/>
      <c r="E27" s="8"/>
      <c r="F27" s="2"/>
      <c r="G27" s="68" t="s">
        <v>267</v>
      </c>
    </row>
    <row r="28" spans="3:7">
      <c r="D28" s="8"/>
      <c r="E28" s="8"/>
      <c r="F28" s="6"/>
    </row>
    <row r="29" spans="3:7">
      <c r="C29" s="7" t="s">
        <v>222</v>
      </c>
    </row>
    <row r="30" spans="3:7">
      <c r="D30" s="8" t="s">
        <v>33</v>
      </c>
    </row>
    <row r="31" spans="3:7">
      <c r="D31" s="8"/>
      <c r="E31" s="70" t="s">
        <v>203</v>
      </c>
      <c r="F31" s="70" t="s">
        <v>367</v>
      </c>
    </row>
    <row r="32" spans="3:7">
      <c r="D32" s="8"/>
      <c r="E32" s="4" t="s">
        <v>204</v>
      </c>
      <c r="F32" t="s">
        <v>266</v>
      </c>
    </row>
    <row r="33" spans="3:6">
      <c r="D33" s="8"/>
      <c r="E33" s="4" t="s">
        <v>215</v>
      </c>
      <c r="F33" t="s">
        <v>205</v>
      </c>
    </row>
    <row r="35" spans="3:6">
      <c r="C35" s="7" t="s">
        <v>223</v>
      </c>
    </row>
    <row r="36" spans="3:6">
      <c r="D36" s="4" t="s">
        <v>224</v>
      </c>
    </row>
    <row r="46" spans="3:6">
      <c r="F46" s="4"/>
    </row>
    <row r="47" spans="3:6">
      <c r="F47" s="30"/>
    </row>
    <row r="48" spans="3:6">
      <c r="F48" s="30"/>
    </row>
    <row r="49" spans="3:8">
      <c r="F49" s="30"/>
    </row>
    <row r="50" spans="3:8">
      <c r="F50" s="30"/>
    </row>
    <row r="51" spans="3:8">
      <c r="F51" s="4"/>
    </row>
    <row r="52" spans="3:8">
      <c r="F52" s="4"/>
    </row>
    <row r="53" spans="3:8">
      <c r="F53" s="4"/>
    </row>
    <row r="54" spans="3:8">
      <c r="D54" s="4" t="s">
        <v>227</v>
      </c>
    </row>
    <row r="60" spans="3:8">
      <c r="C60" s="7" t="s">
        <v>229</v>
      </c>
    </row>
    <row r="61" spans="3:8">
      <c r="D61" s="4" t="s">
        <v>26</v>
      </c>
      <c r="E61" s="4" t="s">
        <v>7</v>
      </c>
    </row>
    <row r="62" spans="3:8">
      <c r="D62" s="4"/>
      <c r="E62" s="4" t="s">
        <v>5</v>
      </c>
    </row>
    <row r="63" spans="3:8">
      <c r="D63" s="4"/>
      <c r="F63" t="s">
        <v>12</v>
      </c>
      <c r="H63" t="s">
        <v>13</v>
      </c>
    </row>
    <row r="64" spans="3:8">
      <c r="D64" s="4"/>
      <c r="H64" t="s">
        <v>14</v>
      </c>
    </row>
    <row r="65" spans="4:20">
      <c r="D65" s="4"/>
      <c r="F65" t="s">
        <v>11</v>
      </c>
      <c r="H65" t="s">
        <v>262</v>
      </c>
    </row>
    <row r="66" spans="4:20">
      <c r="D66" s="4"/>
      <c r="I66" t="s">
        <v>6</v>
      </c>
      <c r="J66" t="s">
        <v>9</v>
      </c>
    </row>
    <row r="67" spans="4:20">
      <c r="D67" s="4"/>
      <c r="J67" t="s">
        <v>10</v>
      </c>
    </row>
    <row r="68" spans="4:20">
      <c r="D68" s="4"/>
      <c r="J68" t="s">
        <v>8</v>
      </c>
    </row>
    <row r="69" spans="4:20">
      <c r="D69" s="4"/>
      <c r="F69" t="s">
        <v>15</v>
      </c>
      <c r="H69" t="s">
        <v>263</v>
      </c>
    </row>
    <row r="70" spans="4:20">
      <c r="D70" s="4"/>
      <c r="H70" t="s">
        <v>16</v>
      </c>
    </row>
    <row r="71" spans="4:20">
      <c r="D71" s="4"/>
    </row>
    <row r="72" spans="4:20">
      <c r="D72" s="4"/>
      <c r="F72" t="s">
        <v>17</v>
      </c>
    </row>
    <row r="73" spans="4:20">
      <c r="D73" s="4"/>
      <c r="G73" t="s">
        <v>18</v>
      </c>
    </row>
    <row r="74" spans="4:20">
      <c r="D74" s="2"/>
      <c r="F74" s="4"/>
      <c r="G74" s="4"/>
      <c r="H74" t="s">
        <v>19</v>
      </c>
      <c r="I74" t="s">
        <v>24</v>
      </c>
      <c r="T74" s="5" t="s">
        <v>20</v>
      </c>
    </row>
    <row r="75" spans="4:20">
      <c r="D75" s="2"/>
      <c r="F75" s="4"/>
      <c r="G75" s="4"/>
      <c r="H75" t="s">
        <v>3</v>
      </c>
      <c r="I75" t="s">
        <v>23</v>
      </c>
      <c r="T75" s="4" t="s">
        <v>21</v>
      </c>
    </row>
    <row r="76" spans="4:20">
      <c r="D76" s="2"/>
      <c r="F76" s="4"/>
      <c r="G76" s="4"/>
      <c r="H76" t="s">
        <v>4</v>
      </c>
      <c r="I76" t="s">
        <v>25</v>
      </c>
      <c r="T76" s="4" t="s">
        <v>22</v>
      </c>
    </row>
    <row r="77" spans="4:20">
      <c r="D77" s="2" t="s">
        <v>138</v>
      </c>
      <c r="E77" s="4" t="s">
        <v>101</v>
      </c>
    </row>
    <row r="78" spans="4:20">
      <c r="E78"/>
      <c r="F78" s="4" t="s">
        <v>95</v>
      </c>
      <c r="I78" s="4" t="s">
        <v>92</v>
      </c>
    </row>
    <row r="79" spans="4:20">
      <c r="E79"/>
      <c r="F79" s="4" t="s">
        <v>94</v>
      </c>
      <c r="I79" s="4" t="s">
        <v>93</v>
      </c>
    </row>
    <row r="80" spans="4:20">
      <c r="D80" t="s">
        <v>102</v>
      </c>
      <c r="E80" s="4" t="s">
        <v>103</v>
      </c>
    </row>
    <row r="81" spans="4:6">
      <c r="E81" t="s">
        <v>2</v>
      </c>
      <c r="F81" t="s">
        <v>130</v>
      </c>
    </row>
    <row r="82" spans="4:6">
      <c r="E82" t="s">
        <v>2</v>
      </c>
      <c r="F82" t="s">
        <v>104</v>
      </c>
    </row>
    <row r="83" spans="4:6">
      <c r="E83" t="s">
        <v>2</v>
      </c>
      <c r="F83" t="s">
        <v>105</v>
      </c>
    </row>
    <row r="84" spans="4:6">
      <c r="E84" t="s">
        <v>2</v>
      </c>
      <c r="F84" t="s">
        <v>133</v>
      </c>
    </row>
    <row r="85" spans="4:6">
      <c r="D85" s="7"/>
      <c r="E85" t="s">
        <v>353</v>
      </c>
      <c r="F85" s="4" t="s">
        <v>354</v>
      </c>
    </row>
    <row r="86" spans="4:6">
      <c r="D86" t="s">
        <v>270</v>
      </c>
      <c r="E86" s="4" t="s">
        <v>271</v>
      </c>
    </row>
  </sheetData>
  <phoneticPr fontId="2"/>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1:AC16"/>
  <sheetViews>
    <sheetView showGridLines="0" workbookViewId="0"/>
  </sheetViews>
  <sheetFormatPr defaultColWidth="0" defaultRowHeight="13.5" zeroHeight="1"/>
  <cols>
    <col min="1" max="29" width="3.5" customWidth="1"/>
    <col min="30" max="16384" width="3.5" hidden="1"/>
  </cols>
  <sheetData>
    <row r="1" spans="2:5"/>
    <row r="2" spans="2:5" s="65" customFormat="1" ht="18.75">
      <c r="B2" s="64" t="s">
        <v>365</v>
      </c>
      <c r="C2" s="64"/>
    </row>
    <row r="3" spans="2:5"/>
    <row r="4" spans="2:5">
      <c r="C4" s="70" t="s">
        <v>366</v>
      </c>
    </row>
    <row r="5" spans="2:5"/>
    <row r="6" spans="2:5">
      <c r="C6" t="s">
        <v>258</v>
      </c>
    </row>
    <row r="7" spans="2:5">
      <c r="D7" t="s">
        <v>260</v>
      </c>
    </row>
    <row r="8" spans="2:5">
      <c r="C8" t="s">
        <v>269</v>
      </c>
    </row>
    <row r="9" spans="2:5">
      <c r="C9" t="s">
        <v>359</v>
      </c>
    </row>
    <row r="10" spans="2:5">
      <c r="D10" t="s">
        <v>360</v>
      </c>
      <c r="E10" t="s">
        <v>361</v>
      </c>
    </row>
    <row r="11" spans="2:5">
      <c r="E11" t="s">
        <v>362</v>
      </c>
    </row>
    <row r="12" spans="2:5">
      <c r="C12" t="s">
        <v>216</v>
      </c>
    </row>
    <row r="13" spans="2:5">
      <c r="D13" t="s">
        <v>360</v>
      </c>
      <c r="E13" t="s">
        <v>363</v>
      </c>
    </row>
    <row r="14" spans="2:5">
      <c r="E14" t="s">
        <v>364</v>
      </c>
    </row>
    <row r="15" spans="2:5">
      <c r="C15" t="s">
        <v>219</v>
      </c>
    </row>
    <row r="16" spans="2:5"/>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N107"/>
  <sheetViews>
    <sheetView showGridLines="0" workbookViewId="0"/>
  </sheetViews>
  <sheetFormatPr defaultColWidth="0" defaultRowHeight="13.5" zeroHeight="1"/>
  <cols>
    <col min="1" max="2" width="4" customWidth="1"/>
    <col min="3" max="3" width="4" style="7" customWidth="1"/>
    <col min="4" max="40" width="4" customWidth="1"/>
    <col min="41" max="16384" width="4" hidden="1"/>
  </cols>
  <sheetData>
    <row r="1" spans="2:8"/>
    <row r="2" spans="2:8" s="65" customFormat="1" ht="18.75">
      <c r="B2" s="64" t="s">
        <v>201</v>
      </c>
      <c r="C2" s="63"/>
    </row>
    <row r="3" spans="2:8">
      <c r="C3" s="7" t="s">
        <v>217</v>
      </c>
    </row>
    <row r="4" spans="2:8">
      <c r="D4" s="2" t="s">
        <v>65</v>
      </c>
      <c r="E4" s="9" t="s">
        <v>225</v>
      </c>
    </row>
    <row r="5" spans="2:8" s="4" customFormat="1">
      <c r="C5" s="7"/>
      <c r="E5" s="30" t="s">
        <v>226</v>
      </c>
    </row>
    <row r="6" spans="2:8">
      <c r="D6" s="2"/>
      <c r="E6" s="4"/>
    </row>
    <row r="7" spans="2:8">
      <c r="D7" s="2"/>
      <c r="E7" s="4"/>
      <c r="F7" t="s">
        <v>162</v>
      </c>
    </row>
    <row r="8" spans="2:8">
      <c r="D8" s="2"/>
      <c r="E8" s="4"/>
      <c r="G8" t="s">
        <v>163</v>
      </c>
    </row>
    <row r="9" spans="2:8">
      <c r="D9" s="2"/>
      <c r="E9" s="4"/>
      <c r="G9" t="s">
        <v>164</v>
      </c>
    </row>
    <row r="10" spans="2:8">
      <c r="D10" s="2"/>
      <c r="E10" s="4"/>
      <c r="G10" t="s">
        <v>165</v>
      </c>
    </row>
    <row r="11" spans="2:8">
      <c r="D11" s="2"/>
      <c r="E11" s="4"/>
      <c r="F11" t="s">
        <v>170</v>
      </c>
    </row>
    <row r="12" spans="2:8">
      <c r="D12" s="2"/>
      <c r="E12" s="4"/>
      <c r="G12" t="s">
        <v>169</v>
      </c>
    </row>
    <row r="13" spans="2:8">
      <c r="D13" s="2"/>
      <c r="E13" s="4"/>
    </row>
    <row r="14" spans="2:8">
      <c r="D14" s="2"/>
      <c r="E14" s="2"/>
      <c r="F14" s="2"/>
      <c r="G14" s="30" t="s">
        <v>186</v>
      </c>
    </row>
    <row r="15" spans="2:8">
      <c r="D15" s="2"/>
      <c r="E15" s="2"/>
      <c r="F15" s="2"/>
      <c r="G15" s="2"/>
      <c r="H15" s="5" t="s">
        <v>184</v>
      </c>
    </row>
    <row r="16" spans="2:8">
      <c r="D16" s="2"/>
      <c r="E16" s="2"/>
      <c r="F16" s="2"/>
      <c r="G16" s="2"/>
      <c r="H16" s="4" t="s">
        <v>171</v>
      </c>
    </row>
    <row r="17" spans="4:20">
      <c r="D17" s="2"/>
      <c r="E17" s="2"/>
      <c r="F17" s="2"/>
      <c r="G17" s="2"/>
      <c r="H17" s="4" t="s">
        <v>185</v>
      </c>
    </row>
    <row r="18" spans="4:20">
      <c r="D18" s="2"/>
      <c r="E18" s="2"/>
      <c r="F18" s="2"/>
      <c r="G18" s="2"/>
      <c r="H18" s="4"/>
      <c r="J18" s="68" t="s">
        <v>172</v>
      </c>
    </row>
    <row r="19" spans="4:20">
      <c r="D19" s="2"/>
      <c r="E19" s="2"/>
      <c r="F19" s="2"/>
      <c r="G19" s="2"/>
      <c r="H19" s="4"/>
      <c r="K19" t="s">
        <v>173</v>
      </c>
    </row>
    <row r="20" spans="4:20">
      <c r="D20" s="2"/>
      <c r="E20" s="2"/>
      <c r="F20" s="2"/>
      <c r="G20" s="2"/>
      <c r="H20" s="4"/>
      <c r="J20" s="68" t="s">
        <v>174</v>
      </c>
    </row>
    <row r="21" spans="4:20">
      <c r="D21" s="2"/>
      <c r="E21" s="2"/>
      <c r="F21" s="2"/>
      <c r="G21" s="2"/>
      <c r="H21" s="4"/>
      <c r="I21" s="4"/>
      <c r="J21" s="4"/>
      <c r="K21" t="s">
        <v>175</v>
      </c>
      <c r="L21" t="s">
        <v>178</v>
      </c>
      <c r="T21" t="s">
        <v>181</v>
      </c>
    </row>
    <row r="22" spans="4:20">
      <c r="D22" s="2"/>
      <c r="E22" s="2"/>
      <c r="F22" s="2"/>
      <c r="G22" s="2"/>
      <c r="H22" s="4"/>
      <c r="I22" s="4"/>
      <c r="J22" s="4"/>
      <c r="K22" t="s">
        <v>176</v>
      </c>
      <c r="L22" t="s">
        <v>179</v>
      </c>
      <c r="T22" t="s">
        <v>182</v>
      </c>
    </row>
    <row r="23" spans="4:20">
      <c r="D23" s="2"/>
      <c r="E23" s="2"/>
      <c r="F23" s="2"/>
      <c r="G23" s="2"/>
      <c r="H23" s="4"/>
      <c r="I23" s="4"/>
      <c r="J23" s="4"/>
      <c r="K23" t="s">
        <v>177</v>
      </c>
      <c r="L23" t="s">
        <v>180</v>
      </c>
      <c r="T23" t="s">
        <v>183</v>
      </c>
    </row>
    <row r="24" spans="4:20">
      <c r="E24" s="2"/>
    </row>
    <row r="25" spans="4:20">
      <c r="D25" s="2" t="s">
        <v>66</v>
      </c>
      <c r="E25" s="2" t="s">
        <v>119</v>
      </c>
    </row>
    <row r="26" spans="4:20">
      <c r="D26" s="2"/>
      <c r="E26" s="68" t="s">
        <v>268</v>
      </c>
    </row>
    <row r="27" spans="4:20">
      <c r="D27" s="2"/>
      <c r="E27" s="4"/>
    </row>
    <row r="28" spans="4:20">
      <c r="D28" s="2" t="s">
        <v>67</v>
      </c>
      <c r="E28" s="2" t="s">
        <v>123</v>
      </c>
    </row>
    <row r="29" spans="4:20">
      <c r="D29" s="2"/>
      <c r="E29" s="68" t="s">
        <v>199</v>
      </c>
    </row>
    <row r="30" spans="4:20">
      <c r="D30" s="2"/>
      <c r="E30" s="68"/>
    </row>
    <row r="31" spans="4:20">
      <c r="D31" s="2"/>
      <c r="E31" t="s">
        <v>231</v>
      </c>
    </row>
    <row r="32" spans="4:20">
      <c r="D32" s="2"/>
      <c r="E32" t="s">
        <v>232</v>
      </c>
    </row>
    <row r="33" spans="4:29">
      <c r="D33" s="2"/>
    </row>
    <row r="34" spans="4:29">
      <c r="D34" s="2"/>
      <c r="E34" t="s">
        <v>259</v>
      </c>
      <c r="L34" s="1"/>
    </row>
    <row r="35" spans="4:29">
      <c r="D35" s="2"/>
      <c r="E35" s="4"/>
      <c r="F35" t="s">
        <v>162</v>
      </c>
    </row>
    <row r="36" spans="4:29">
      <c r="D36" s="2"/>
      <c r="G36" s="54" t="s">
        <v>208</v>
      </c>
      <c r="H36" s="54"/>
      <c r="L36" s="1"/>
      <c r="V36" t="s">
        <v>207</v>
      </c>
    </row>
    <row r="37" spans="4:29">
      <c r="D37" s="2"/>
      <c r="E37" s="4"/>
      <c r="G37" s="54"/>
      <c r="H37" s="69" t="s">
        <v>196</v>
      </c>
      <c r="I37" s="69"/>
      <c r="J37" s="69"/>
      <c r="K37" s="69"/>
      <c r="L37" s="69"/>
      <c r="W37" t="s">
        <v>234</v>
      </c>
    </row>
    <row r="38" spans="4:29">
      <c r="D38" s="2"/>
      <c r="E38" s="4"/>
      <c r="H38" s="69"/>
      <c r="I38" s="69" t="s">
        <v>195</v>
      </c>
      <c r="J38" s="69"/>
      <c r="K38" s="69"/>
      <c r="L38" s="69"/>
      <c r="N38" s="1"/>
      <c r="O38" s="1"/>
      <c r="X38" t="s">
        <v>235</v>
      </c>
    </row>
    <row r="39" spans="4:29">
      <c r="D39" s="2"/>
      <c r="E39" s="4"/>
      <c r="H39" s="69"/>
      <c r="I39" s="69"/>
      <c r="J39" s="69" t="s">
        <v>194</v>
      </c>
      <c r="K39" s="69"/>
      <c r="L39" s="69"/>
      <c r="Y39" t="s">
        <v>236</v>
      </c>
    </row>
    <row r="40" spans="4:29">
      <c r="D40" s="2"/>
      <c r="E40" s="4"/>
      <c r="H40" s="69"/>
      <c r="I40" s="69"/>
      <c r="J40" s="69"/>
      <c r="K40" s="69" t="s">
        <v>277</v>
      </c>
      <c r="L40" s="69"/>
      <c r="Z40" t="s">
        <v>237</v>
      </c>
    </row>
    <row r="41" spans="4:29">
      <c r="D41" s="2"/>
      <c r="E41" s="4"/>
      <c r="H41" s="69"/>
      <c r="I41" s="69"/>
      <c r="J41" s="69"/>
      <c r="K41" s="69"/>
      <c r="L41" s="69" t="s">
        <v>276</v>
      </c>
      <c r="AA41" t="s">
        <v>238</v>
      </c>
    </row>
    <row r="42" spans="4:29">
      <c r="D42" s="2"/>
      <c r="E42" s="4"/>
      <c r="H42" s="69"/>
      <c r="I42" s="69"/>
      <c r="J42" s="69"/>
      <c r="K42" s="69"/>
      <c r="L42" s="69" t="s">
        <v>189</v>
      </c>
      <c r="AA42" t="s">
        <v>188</v>
      </c>
    </row>
    <row r="43" spans="4:29">
      <c r="D43" s="2"/>
      <c r="E43" s="4"/>
      <c r="H43" s="69"/>
      <c r="I43" s="69"/>
      <c r="J43" s="69"/>
      <c r="K43" s="69"/>
      <c r="L43" s="69" t="s">
        <v>233</v>
      </c>
      <c r="AA43" t="s">
        <v>190</v>
      </c>
    </row>
    <row r="44" spans="4:29">
      <c r="D44" s="2"/>
      <c r="E44" s="4"/>
      <c r="H44" s="69"/>
      <c r="I44" s="69"/>
      <c r="J44" s="69"/>
      <c r="K44" s="69"/>
      <c r="L44" s="69"/>
      <c r="M44" t="s">
        <v>191</v>
      </c>
      <c r="AB44" t="s">
        <v>239</v>
      </c>
    </row>
    <row r="45" spans="4:29">
      <c r="D45" s="2"/>
      <c r="E45" s="4"/>
      <c r="H45" s="69"/>
      <c r="I45" s="69"/>
      <c r="J45" s="69"/>
      <c r="K45" s="69"/>
      <c r="L45" s="69"/>
      <c r="N45" t="s">
        <v>192</v>
      </c>
      <c r="AC45" t="s">
        <v>240</v>
      </c>
    </row>
    <row r="46" spans="4:29">
      <c r="D46" s="2"/>
      <c r="E46" s="4"/>
      <c r="H46" s="69"/>
      <c r="I46" s="69"/>
      <c r="J46" s="69"/>
      <c r="K46" s="69"/>
      <c r="L46" s="69"/>
    </row>
    <row r="47" spans="4:29">
      <c r="D47" s="2"/>
      <c r="E47" s="4"/>
      <c r="H47" s="69"/>
      <c r="I47" s="69"/>
      <c r="J47" s="69"/>
      <c r="K47" s="69"/>
      <c r="L47" s="69"/>
    </row>
    <row r="48" spans="4:29">
      <c r="D48" s="2"/>
      <c r="E48" s="4"/>
      <c r="F48" t="s">
        <v>166</v>
      </c>
      <c r="H48" s="69"/>
      <c r="I48" s="69"/>
      <c r="J48" s="69"/>
      <c r="K48" s="69"/>
      <c r="L48" s="69"/>
    </row>
    <row r="49" spans="4:26">
      <c r="D49" s="2"/>
      <c r="E49" s="4"/>
      <c r="G49" s="54" t="s">
        <v>210</v>
      </c>
      <c r="H49" s="69"/>
      <c r="I49" s="69"/>
      <c r="J49" s="69"/>
      <c r="K49" s="69"/>
      <c r="L49" s="69"/>
      <c r="V49" t="s">
        <v>209</v>
      </c>
    </row>
    <row r="50" spans="4:26">
      <c r="D50" s="2"/>
      <c r="E50" s="4"/>
      <c r="G50" s="54"/>
      <c r="H50" s="69" t="s">
        <v>196</v>
      </c>
      <c r="I50" s="69"/>
      <c r="J50" s="69"/>
      <c r="K50" s="69"/>
      <c r="L50" s="69"/>
      <c r="W50" t="s">
        <v>241</v>
      </c>
    </row>
    <row r="51" spans="4:26">
      <c r="D51" s="2"/>
      <c r="E51" s="4"/>
      <c r="G51" s="54"/>
      <c r="H51" s="69"/>
      <c r="I51" s="69" t="s">
        <v>195</v>
      </c>
      <c r="J51" s="69"/>
      <c r="K51" s="69"/>
      <c r="L51" s="69"/>
      <c r="O51" s="1"/>
      <c r="X51" t="s">
        <v>242</v>
      </c>
    </row>
    <row r="52" spans="4:26">
      <c r="D52" s="2"/>
      <c r="E52" s="4"/>
      <c r="G52" s="54"/>
      <c r="H52" s="69"/>
      <c r="I52" s="69"/>
      <c r="J52" s="69" t="s">
        <v>197</v>
      </c>
      <c r="K52" s="69"/>
      <c r="L52" s="69"/>
      <c r="O52" s="1"/>
      <c r="Y52" t="s">
        <v>243</v>
      </c>
    </row>
    <row r="53" spans="4:26">
      <c r="D53" s="2"/>
      <c r="E53" s="4"/>
      <c r="G53" s="54"/>
      <c r="H53" s="69"/>
      <c r="I53" s="69"/>
      <c r="J53" s="69"/>
      <c r="K53" s="69" t="s">
        <v>198</v>
      </c>
      <c r="L53" s="69"/>
      <c r="Z53" t="s">
        <v>244</v>
      </c>
    </row>
    <row r="54" spans="4:26">
      <c r="D54" s="2"/>
      <c r="E54" s="4"/>
      <c r="G54" s="54"/>
      <c r="H54" s="69"/>
      <c r="I54" s="69"/>
      <c r="J54" s="69"/>
      <c r="K54" s="69"/>
      <c r="L54" s="69"/>
    </row>
    <row r="55" spans="4:26">
      <c r="D55" s="2"/>
      <c r="E55" s="4"/>
      <c r="G55" s="54"/>
      <c r="H55" s="69"/>
      <c r="I55" s="69"/>
      <c r="J55" s="69"/>
      <c r="K55" s="69"/>
      <c r="L55" s="69"/>
    </row>
    <row r="56" spans="4:26">
      <c r="D56" s="2"/>
      <c r="E56" s="4"/>
      <c r="F56" t="s">
        <v>167</v>
      </c>
      <c r="H56" s="69"/>
      <c r="I56" s="69"/>
      <c r="J56" s="69"/>
      <c r="K56" s="69"/>
      <c r="L56" s="69"/>
    </row>
    <row r="57" spans="4:26">
      <c r="D57" s="2"/>
      <c r="E57" s="4"/>
      <c r="G57" s="54" t="s">
        <v>212</v>
      </c>
      <c r="H57" s="69"/>
      <c r="I57" s="69"/>
      <c r="J57" s="69"/>
      <c r="K57" s="69"/>
      <c r="L57" s="69"/>
      <c r="V57" t="s">
        <v>211</v>
      </c>
    </row>
    <row r="58" spans="4:26">
      <c r="D58" s="2"/>
      <c r="E58" s="4"/>
      <c r="G58" s="54"/>
      <c r="H58" s="69" t="s">
        <v>196</v>
      </c>
      <c r="I58" s="69"/>
      <c r="J58" s="69"/>
      <c r="K58" s="69"/>
      <c r="L58" s="69"/>
      <c r="W58" t="s">
        <v>245</v>
      </c>
    </row>
    <row r="59" spans="4:26">
      <c r="D59" s="2"/>
      <c r="E59" s="4"/>
      <c r="G59" s="54"/>
      <c r="H59" s="69"/>
      <c r="I59" s="69" t="s">
        <v>195</v>
      </c>
      <c r="J59" s="69"/>
      <c r="K59" s="69"/>
      <c r="L59" s="69"/>
      <c r="O59" s="1"/>
      <c r="X59" t="s">
        <v>246</v>
      </c>
    </row>
    <row r="60" spans="4:26">
      <c r="D60" s="2"/>
      <c r="E60" s="4"/>
      <c r="G60" s="54"/>
      <c r="H60" s="69"/>
      <c r="I60" s="69"/>
      <c r="J60" s="69" t="s">
        <v>197</v>
      </c>
      <c r="K60" s="69"/>
      <c r="L60" s="69"/>
      <c r="Y60" t="s">
        <v>247</v>
      </c>
    </row>
    <row r="61" spans="4:26">
      <c r="D61" s="2"/>
      <c r="E61" s="4"/>
      <c r="G61" s="54"/>
      <c r="H61" s="69"/>
      <c r="I61" s="69"/>
      <c r="J61" s="69"/>
      <c r="K61" s="69" t="s">
        <v>198</v>
      </c>
      <c r="L61" s="69"/>
      <c r="Z61" t="s">
        <v>248</v>
      </c>
    </row>
    <row r="62" spans="4:26">
      <c r="D62" s="2"/>
      <c r="E62" s="4"/>
      <c r="G62" s="54"/>
      <c r="H62" s="69"/>
      <c r="I62" s="69"/>
      <c r="J62" s="69"/>
      <c r="K62" s="69"/>
      <c r="L62" s="69"/>
    </row>
    <row r="63" spans="4:26">
      <c r="D63" s="2"/>
      <c r="E63" s="4"/>
      <c r="G63" s="54"/>
      <c r="H63" s="69"/>
      <c r="I63" s="69"/>
      <c r="J63" s="69"/>
      <c r="K63" s="69"/>
      <c r="L63" s="69"/>
    </row>
    <row r="64" spans="4:26">
      <c r="D64" s="2"/>
      <c r="E64" s="4"/>
      <c r="G64" s="54"/>
      <c r="H64" s="69"/>
      <c r="I64" s="69"/>
      <c r="J64" s="69"/>
      <c r="K64" s="69"/>
      <c r="L64" s="69"/>
    </row>
    <row r="65" spans="3:25">
      <c r="D65" s="2"/>
      <c r="E65" s="4"/>
      <c r="F65" t="s">
        <v>168</v>
      </c>
      <c r="H65" s="69"/>
      <c r="I65" s="69"/>
      <c r="J65" s="69"/>
      <c r="K65" s="69"/>
      <c r="L65" s="69"/>
    </row>
    <row r="66" spans="3:25">
      <c r="D66" s="2"/>
      <c r="E66" s="4"/>
      <c r="G66" s="54" t="s">
        <v>214</v>
      </c>
      <c r="H66" s="69"/>
      <c r="I66" s="69"/>
      <c r="J66" s="69"/>
      <c r="K66" s="69"/>
      <c r="L66" s="69"/>
      <c r="V66" t="s">
        <v>213</v>
      </c>
    </row>
    <row r="67" spans="3:25">
      <c r="D67" s="2"/>
      <c r="E67" s="4"/>
      <c r="H67" s="69" t="s">
        <v>195</v>
      </c>
      <c r="I67" s="69"/>
      <c r="J67" s="69"/>
      <c r="K67" s="69"/>
      <c r="L67" s="69"/>
      <c r="N67" s="1"/>
      <c r="O67" s="1"/>
      <c r="W67" t="s">
        <v>249</v>
      </c>
    </row>
    <row r="68" spans="3:25">
      <c r="D68" s="2"/>
      <c r="E68" s="4"/>
      <c r="I68" t="s">
        <v>197</v>
      </c>
      <c r="X68" t="s">
        <v>250</v>
      </c>
    </row>
    <row r="69" spans="3:25">
      <c r="D69" s="2"/>
      <c r="E69" s="4"/>
      <c r="J69" t="s">
        <v>198</v>
      </c>
      <c r="Y69" t="s">
        <v>251</v>
      </c>
    </row>
    <row r="70" spans="3:25">
      <c r="D70" s="2"/>
      <c r="E70" s="4"/>
    </row>
    <row r="71" spans="3:25">
      <c r="D71" s="6"/>
      <c r="H71" s="69"/>
    </row>
    <row r="72" spans="3:25"/>
    <row r="73" spans="3:25">
      <c r="C73" s="7" t="s">
        <v>218</v>
      </c>
    </row>
    <row r="74" spans="3:25">
      <c r="C74"/>
      <c r="D74" s="7"/>
    </row>
    <row r="75" spans="3:25">
      <c r="C75"/>
      <c r="D75" s="7"/>
    </row>
    <row r="76" spans="3:25">
      <c r="C76"/>
      <c r="D76" s="7"/>
    </row>
    <row r="77" spans="3:25">
      <c r="C77"/>
      <c r="D77" s="7"/>
    </row>
    <row r="78" spans="3:25">
      <c r="C78"/>
      <c r="D78" s="7"/>
    </row>
    <row r="79" spans="3:25">
      <c r="C79"/>
      <c r="D79" s="7"/>
    </row>
    <row r="80" spans="3:25">
      <c r="C80"/>
      <c r="D80" s="7"/>
    </row>
    <row r="81" spans="3:4">
      <c r="C81"/>
      <c r="D81" s="7"/>
    </row>
    <row r="82" spans="3:4">
      <c r="C82"/>
      <c r="D82" s="7"/>
    </row>
    <row r="83" spans="3:4">
      <c r="C83"/>
      <c r="D83" s="7"/>
    </row>
    <row r="84" spans="3:4">
      <c r="C84"/>
      <c r="D84" s="7"/>
    </row>
    <row r="85" spans="3:4">
      <c r="C85"/>
      <c r="D85" s="7"/>
    </row>
    <row r="86" spans="3:4">
      <c r="C86"/>
      <c r="D86" s="7"/>
    </row>
    <row r="87" spans="3:4">
      <c r="C87"/>
      <c r="D87" s="7"/>
    </row>
    <row r="88" spans="3:4">
      <c r="C88"/>
      <c r="D88" s="7"/>
    </row>
    <row r="89" spans="3:4">
      <c r="C89"/>
      <c r="D89" s="7"/>
    </row>
    <row r="90" spans="3:4">
      <c r="C90"/>
      <c r="D90" s="7"/>
    </row>
    <row r="91" spans="3:4">
      <c r="C91"/>
      <c r="D91" s="7"/>
    </row>
    <row r="92" spans="3:4">
      <c r="C92"/>
      <c r="D92" s="7"/>
    </row>
    <row r="93" spans="3:4">
      <c r="C93"/>
      <c r="D93" s="7"/>
    </row>
    <row r="94" spans="3:4">
      <c r="C94"/>
      <c r="D94" s="7"/>
    </row>
    <row r="95" spans="3:4">
      <c r="C95"/>
      <c r="D95" s="7"/>
    </row>
    <row r="96" spans="3:4">
      <c r="C96"/>
      <c r="D96" s="7"/>
    </row>
    <row r="97" spans="3:4">
      <c r="C97"/>
      <c r="D97" s="7"/>
    </row>
    <row r="98" spans="3:4">
      <c r="C98"/>
      <c r="D98" s="7"/>
    </row>
    <row r="99" spans="3:4">
      <c r="C99"/>
      <c r="D99" s="7"/>
    </row>
    <row r="100" spans="3:4">
      <c r="C100"/>
      <c r="D100" s="7"/>
    </row>
    <row r="101" spans="3:4">
      <c r="C101"/>
      <c r="D101" s="7"/>
    </row>
    <row r="102" spans="3:4">
      <c r="C102"/>
      <c r="D102" s="7"/>
    </row>
    <row r="103" spans="3:4">
      <c r="C103"/>
      <c r="D103" s="7"/>
    </row>
    <row r="104" spans="3:4">
      <c r="C104"/>
      <c r="D104" s="7"/>
    </row>
    <row r="105" spans="3:4" hidden="1"/>
    <row r="106" spans="3:4" hidden="1"/>
    <row r="107" spans="3:4" hidden="1"/>
  </sheetData>
  <phoneticPr fontId="2"/>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J12"/>
  <sheetViews>
    <sheetView showGridLines="0" zoomScaleNormal="100" workbookViewId="0">
      <pane ySplit="11" topLeftCell="A12" activePane="bottomLeft" state="frozen"/>
      <selection pane="bottomLeft"/>
    </sheetView>
  </sheetViews>
  <sheetFormatPr defaultRowHeight="13.5"/>
  <cols>
    <col min="1" max="2" width="3.625" customWidth="1"/>
    <col min="3" max="3" width="20" bestFit="1" customWidth="1"/>
    <col min="4" max="4" width="22" customWidth="1"/>
    <col min="5" max="5" width="36" customWidth="1"/>
    <col min="6" max="6" width="2.375" customWidth="1"/>
    <col min="7" max="7" width="12" customWidth="1"/>
    <col min="8" max="8" width="39.25" style="17" bestFit="1" customWidth="1"/>
  </cols>
  <sheetData>
    <row r="2" spans="2:10" s="49" customFormat="1" ht="14.25">
      <c r="B2" s="49" t="s">
        <v>261</v>
      </c>
      <c r="H2" s="50"/>
    </row>
    <row r="3" spans="2:10" s="47" customFormat="1" ht="6.75" customHeight="1">
      <c r="H3" s="48"/>
    </row>
    <row r="4" spans="2:10">
      <c r="C4" t="s">
        <v>118</v>
      </c>
    </row>
    <row r="6" spans="2:10">
      <c r="C6" s="44" t="s">
        <v>38</v>
      </c>
      <c r="D6" s="12"/>
      <c r="E6" s="13"/>
      <c r="F6" s="13"/>
      <c r="G6" s="13"/>
      <c r="H6" s="28"/>
      <c r="I6" s="13"/>
      <c r="J6" s="14"/>
    </row>
    <row r="7" spans="2:10">
      <c r="C7" s="45"/>
    </row>
    <row r="8" spans="2:10">
      <c r="C8" s="44" t="s">
        <v>37</v>
      </c>
      <c r="D8" s="39"/>
    </row>
    <row r="9" spans="2:10">
      <c r="C9" s="44" t="s">
        <v>79</v>
      </c>
      <c r="D9" s="39"/>
    </row>
    <row r="11" spans="2:10">
      <c r="C11" s="15" t="s">
        <v>41</v>
      </c>
      <c r="D11" s="15" t="s">
        <v>39</v>
      </c>
      <c r="E11" s="15" t="s">
        <v>40</v>
      </c>
      <c r="G11" s="15" t="s">
        <v>36</v>
      </c>
      <c r="H11" s="29" t="s">
        <v>35</v>
      </c>
    </row>
    <row r="12" spans="2:10">
      <c r="C12" s="22"/>
      <c r="D12" s="38"/>
      <c r="E12" s="23"/>
      <c r="G12" s="37"/>
      <c r="H12" s="36"/>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J13"/>
  <sheetViews>
    <sheetView showGridLines="0" zoomScaleNormal="100" workbookViewId="0">
      <pane ySplit="12" topLeftCell="A13" activePane="bottomLeft" state="frozen"/>
      <selection pane="bottomLeft"/>
    </sheetView>
  </sheetViews>
  <sheetFormatPr defaultRowHeight="13.5"/>
  <cols>
    <col min="1" max="2" width="3.625" customWidth="1"/>
    <col min="3" max="3" width="20" bestFit="1" customWidth="1"/>
    <col min="4" max="4" width="18.75" customWidth="1"/>
    <col min="5" max="5" width="32.625" bestFit="1" customWidth="1"/>
    <col min="6" max="6" width="2.375" customWidth="1"/>
    <col min="7" max="7" width="15.375" customWidth="1"/>
    <col min="8" max="8" width="39.25" style="17" bestFit="1" customWidth="1"/>
  </cols>
  <sheetData>
    <row r="2" spans="2:10" s="49" customFormat="1" ht="14.25">
      <c r="B2" s="49" t="s">
        <v>121</v>
      </c>
      <c r="H2" s="50"/>
    </row>
    <row r="3" spans="2:10" s="47" customFormat="1" ht="6.75" customHeight="1">
      <c r="H3" s="48"/>
    </row>
    <row r="4" spans="2:10">
      <c r="C4" t="s">
        <v>122</v>
      </c>
    </row>
    <row r="6" spans="2:10">
      <c r="C6" s="44" t="s">
        <v>38</v>
      </c>
      <c r="D6" s="12"/>
      <c r="E6" s="13"/>
      <c r="F6" s="13"/>
      <c r="G6" s="13"/>
      <c r="H6" s="28"/>
      <c r="I6" s="13"/>
      <c r="J6" s="14"/>
    </row>
    <row r="7" spans="2:10">
      <c r="C7" s="44" t="s">
        <v>1</v>
      </c>
      <c r="D7" s="12"/>
      <c r="E7" s="13"/>
      <c r="F7" s="13"/>
      <c r="G7" s="13"/>
      <c r="H7" s="28"/>
      <c r="I7" s="13"/>
      <c r="J7" s="14"/>
    </row>
    <row r="8" spans="2:10">
      <c r="C8" s="45"/>
    </row>
    <row r="9" spans="2:10">
      <c r="C9" s="44" t="s">
        <v>37</v>
      </c>
      <c r="D9" s="38"/>
    </row>
    <row r="10" spans="2:10">
      <c r="C10" s="44" t="s">
        <v>79</v>
      </c>
      <c r="D10" s="39"/>
    </row>
    <row r="12" spans="2:10">
      <c r="C12" s="15" t="s">
        <v>41</v>
      </c>
      <c r="D12" s="15" t="s">
        <v>39</v>
      </c>
      <c r="E12" s="15" t="s">
        <v>40</v>
      </c>
      <c r="G12" s="15" t="s">
        <v>36</v>
      </c>
      <c r="H12" s="29" t="s">
        <v>35</v>
      </c>
    </row>
    <row r="13" spans="2:10">
      <c r="C13" s="22"/>
      <c r="D13" s="38"/>
      <c r="E13" s="23"/>
      <c r="F13" s="40"/>
      <c r="G13" s="25"/>
      <c r="H13" s="24"/>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L13"/>
  <sheetViews>
    <sheetView showGridLines="0" zoomScaleNormal="100" workbookViewId="0">
      <pane ySplit="12" topLeftCell="A13" activePane="bottomLeft" state="frozen"/>
      <selection activeCell="G49" sqref="G49"/>
      <selection pane="bottomLeft" activeCell="G49" sqref="G49"/>
    </sheetView>
  </sheetViews>
  <sheetFormatPr defaultRowHeight="13.5"/>
  <cols>
    <col min="1" max="2" width="3.625" customWidth="1"/>
    <col min="3" max="3" width="20" customWidth="1"/>
    <col min="4" max="4" width="15.875" customWidth="1"/>
    <col min="5" max="5" width="26.375" customWidth="1"/>
    <col min="6" max="6" width="2.375" customWidth="1"/>
    <col min="7" max="7" width="16.25" customWidth="1"/>
    <col min="8" max="8" width="46.875" customWidth="1"/>
  </cols>
  <sheetData>
    <row r="1" spans="2:12">
      <c r="H1" s="17"/>
    </row>
    <row r="2" spans="2:12" s="49" customFormat="1" ht="14.25">
      <c r="B2" s="49" t="s">
        <v>125</v>
      </c>
      <c r="H2" s="50"/>
    </row>
    <row r="3" spans="2:12" s="47" customFormat="1" ht="6.75" customHeight="1">
      <c r="H3" s="48"/>
    </row>
    <row r="4" spans="2:12">
      <c r="C4" t="s">
        <v>126</v>
      </c>
      <c r="H4" s="17"/>
    </row>
    <row r="6" spans="2:12">
      <c r="C6" s="44" t="s">
        <v>38</v>
      </c>
      <c r="D6" s="35"/>
      <c r="E6" s="13"/>
      <c r="F6" s="13"/>
      <c r="G6" s="13"/>
      <c r="H6" s="13"/>
      <c r="I6" s="13"/>
      <c r="J6" s="13"/>
      <c r="K6" s="13"/>
      <c r="L6" s="14"/>
    </row>
    <row r="7" spans="2:12">
      <c r="C7" s="44" t="s">
        <v>1</v>
      </c>
      <c r="D7" s="35"/>
      <c r="E7" s="13"/>
      <c r="F7" s="13"/>
      <c r="G7" s="13"/>
      <c r="H7" s="13"/>
      <c r="I7" s="13"/>
      <c r="J7" s="13"/>
      <c r="K7" s="13"/>
      <c r="L7" s="14"/>
    </row>
    <row r="8" spans="2:12">
      <c r="C8" s="45"/>
      <c r="D8" s="43"/>
    </row>
    <row r="9" spans="2:12">
      <c r="C9" s="46" t="s">
        <v>37</v>
      </c>
      <c r="D9" s="35"/>
      <c r="E9" s="41"/>
      <c r="F9" s="42"/>
      <c r="G9" s="42"/>
    </row>
    <row r="10" spans="2:12">
      <c r="C10" s="44" t="s">
        <v>79</v>
      </c>
      <c r="D10" s="39"/>
      <c r="H10" s="17"/>
    </row>
    <row r="12" spans="2:12">
      <c r="C12" s="15" t="s">
        <v>42</v>
      </c>
      <c r="D12" s="15" t="s">
        <v>116</v>
      </c>
      <c r="E12" s="15" t="s">
        <v>115</v>
      </c>
      <c r="G12" s="15" t="s">
        <v>36</v>
      </c>
      <c r="H12" s="15" t="s">
        <v>35</v>
      </c>
    </row>
    <row r="13" spans="2:12">
      <c r="C13" s="10"/>
      <c r="D13" s="10"/>
      <c r="E13" s="10"/>
      <c r="G13" s="11"/>
      <c r="H13" s="16"/>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I7"/>
  <sheetViews>
    <sheetView showGridLines="0" workbookViewId="0">
      <selection activeCell="G49" sqref="G49"/>
    </sheetView>
  </sheetViews>
  <sheetFormatPr defaultRowHeight="13.5"/>
  <cols>
    <col min="1" max="2" width="3.125" customWidth="1"/>
    <col min="3" max="3" width="31.375" bestFit="1" customWidth="1"/>
    <col min="4" max="5" width="12" customWidth="1"/>
  </cols>
  <sheetData>
    <row r="2" spans="2:9" s="49" customFormat="1" ht="14.25">
      <c r="B2" s="49" t="s">
        <v>128</v>
      </c>
      <c r="I2" s="50"/>
    </row>
    <row r="3" spans="2:9">
      <c r="D3" s="15" t="s">
        <v>37</v>
      </c>
      <c r="E3" s="15" t="s">
        <v>79</v>
      </c>
    </row>
    <row r="4" spans="2:9">
      <c r="C4" s="53" t="s">
        <v>127</v>
      </c>
      <c r="D4" s="51"/>
      <c r="E4" s="51"/>
    </row>
    <row r="5" spans="2:9">
      <c r="C5" s="53" t="s">
        <v>120</v>
      </c>
      <c r="D5" s="10"/>
      <c r="E5" s="10"/>
    </row>
    <row r="6" spans="2:9">
      <c r="C6" s="53" t="s">
        <v>124</v>
      </c>
      <c r="D6" s="10"/>
      <c r="E6" s="10"/>
    </row>
    <row r="7" spans="2:9">
      <c r="C7" s="52" t="s">
        <v>129</v>
      </c>
      <c r="D7" s="52"/>
      <c r="E7" s="52"/>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Q12"/>
  <sheetViews>
    <sheetView showGridLines="0" workbookViewId="0"/>
  </sheetViews>
  <sheetFormatPr defaultRowHeight="13.5"/>
  <cols>
    <col min="1" max="2" width="3.5" customWidth="1"/>
    <col min="3" max="3" width="20" bestFit="1" customWidth="1"/>
    <col min="6" max="6" width="3.625" customWidth="1"/>
    <col min="7" max="7" width="11.5" customWidth="1"/>
    <col min="8" max="8" width="11.75" customWidth="1"/>
    <col min="10" max="10" width="34.875" customWidth="1"/>
    <col min="11" max="11" width="7.375" customWidth="1"/>
    <col min="12" max="12" width="3.875" customWidth="1"/>
    <col min="13" max="13" width="11.5" customWidth="1"/>
    <col min="14" max="14" width="11.75" customWidth="1"/>
    <col min="16" max="16" width="34.875" customWidth="1"/>
    <col min="17" max="17" width="7.375" customWidth="1"/>
  </cols>
  <sheetData>
    <row r="2" spans="2:17" s="49" customFormat="1" ht="14.25">
      <c r="B2" s="49" t="s">
        <v>375</v>
      </c>
      <c r="I2" s="50"/>
    </row>
    <row r="3" spans="2:17" s="47" customFormat="1" ht="6.75" customHeight="1">
      <c r="I3" s="48"/>
    </row>
    <row r="4" spans="2:17">
      <c r="C4" t="s">
        <v>383</v>
      </c>
      <c r="I4" s="17"/>
    </row>
    <row r="6" spans="2:17">
      <c r="C6" s="44" t="s">
        <v>38</v>
      </c>
      <c r="D6" s="12"/>
      <c r="E6" s="13"/>
      <c r="F6" s="13"/>
      <c r="G6" s="13"/>
      <c r="H6" s="13"/>
      <c r="I6" s="13"/>
      <c r="J6" s="13"/>
      <c r="K6" s="13"/>
      <c r="L6" s="13"/>
      <c r="M6" s="13"/>
      <c r="N6" s="13"/>
      <c r="O6" s="13"/>
      <c r="P6" s="13"/>
      <c r="Q6" s="14"/>
    </row>
    <row r="7" spans="2:17">
      <c r="C7" s="44" t="s">
        <v>369</v>
      </c>
      <c r="D7" s="12"/>
      <c r="E7" s="13"/>
      <c r="F7" s="13"/>
      <c r="G7" s="13"/>
      <c r="H7" s="13"/>
      <c r="I7" s="13"/>
      <c r="J7" s="13"/>
      <c r="K7" s="13"/>
      <c r="L7" s="13"/>
      <c r="M7" s="13"/>
      <c r="N7" s="13"/>
      <c r="O7" s="13"/>
      <c r="P7" s="13"/>
      <c r="Q7" s="14"/>
    </row>
    <row r="9" spans="2:17">
      <c r="G9" s="94" t="s">
        <v>344</v>
      </c>
      <c r="H9" s="94"/>
      <c r="I9" s="94"/>
      <c r="J9" s="94"/>
      <c r="K9" s="94"/>
      <c r="L9" s="93"/>
      <c r="M9" s="94" t="s">
        <v>345</v>
      </c>
      <c r="N9" s="94"/>
      <c r="O9" s="94"/>
      <c r="P9" s="94"/>
      <c r="Q9" s="94"/>
    </row>
    <row r="10" spans="2:17">
      <c r="C10" s="15" t="s">
        <v>41</v>
      </c>
      <c r="D10" s="15" t="s">
        <v>39</v>
      </c>
      <c r="E10" s="15" t="s">
        <v>340</v>
      </c>
      <c r="G10" s="15" t="s">
        <v>312</v>
      </c>
      <c r="H10" s="15" t="s">
        <v>309</v>
      </c>
      <c r="I10" s="15" t="s">
        <v>310</v>
      </c>
      <c r="J10" s="15" t="s">
        <v>40</v>
      </c>
      <c r="K10" s="15" t="s">
        <v>311</v>
      </c>
      <c r="L10" s="93"/>
      <c r="M10" s="15" t="s">
        <v>312</v>
      </c>
      <c r="N10" s="15" t="s">
        <v>309</v>
      </c>
      <c r="O10" s="15" t="s">
        <v>310</v>
      </c>
      <c r="P10" s="15" t="s">
        <v>40</v>
      </c>
      <c r="Q10" s="15" t="s">
        <v>311</v>
      </c>
    </row>
    <row r="11" spans="2:17" s="95" customFormat="1" ht="40.5">
      <c r="C11" s="24" t="s">
        <v>374</v>
      </c>
      <c r="D11" s="96">
        <v>1</v>
      </c>
      <c r="E11" s="96" t="s">
        <v>341</v>
      </c>
      <c r="G11" s="96" t="s">
        <v>370</v>
      </c>
      <c r="H11" s="97">
        <v>42039</v>
      </c>
      <c r="I11" s="96" t="s">
        <v>373</v>
      </c>
      <c r="J11" s="96" t="s">
        <v>372</v>
      </c>
      <c r="K11" s="96">
        <v>16652</v>
      </c>
      <c r="L11" s="115" t="s">
        <v>368</v>
      </c>
      <c r="M11" s="96" t="s">
        <v>370</v>
      </c>
      <c r="N11" s="97">
        <v>42039</v>
      </c>
      <c r="O11" s="96" t="s">
        <v>373</v>
      </c>
      <c r="P11" s="96" t="s">
        <v>372</v>
      </c>
      <c r="Q11" s="96">
        <v>16652</v>
      </c>
    </row>
    <row r="12" spans="2:17" s="95" customFormat="1">
      <c r="C12" s="24"/>
      <c r="D12" s="96"/>
      <c r="E12" s="96"/>
      <c r="G12" s="96"/>
      <c r="H12" s="97"/>
      <c r="I12" s="96"/>
      <c r="J12" s="96"/>
      <c r="K12" s="96"/>
      <c r="M12" s="96"/>
      <c r="N12" s="97"/>
      <c r="O12" s="96"/>
      <c r="P12" s="96"/>
      <c r="Q12" s="96"/>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S13"/>
  <sheetViews>
    <sheetView showGridLines="0" topLeftCell="A2" workbookViewId="0">
      <selection activeCell="J10" sqref="J10:J11"/>
    </sheetView>
  </sheetViews>
  <sheetFormatPr defaultRowHeight="13.5"/>
  <cols>
    <col min="1" max="2" width="3.5" customWidth="1"/>
    <col min="3" max="3" width="20" bestFit="1" customWidth="1"/>
    <col min="4" max="4" width="20.125" customWidth="1"/>
    <col min="6" max="6" width="3.625" customWidth="1"/>
    <col min="7" max="7" width="11.5" customWidth="1"/>
    <col min="8" max="8" width="11.75" customWidth="1"/>
    <col min="9" max="9" width="10.5" bestFit="1" customWidth="1"/>
    <col min="10" max="10" width="34.875" customWidth="1"/>
    <col min="11" max="12" width="9" customWidth="1"/>
    <col min="13" max="13" width="3.875" customWidth="1"/>
    <col min="14" max="14" width="11.5" customWidth="1"/>
    <col min="15" max="15" width="5.25" bestFit="1" customWidth="1"/>
    <col min="16" max="16" width="12.375" customWidth="1"/>
    <col min="17" max="17" width="34.875" customWidth="1"/>
    <col min="18" max="19" width="9.5" customWidth="1"/>
  </cols>
  <sheetData>
    <row r="2" spans="2:19" s="49" customFormat="1" ht="14.25">
      <c r="B2" s="49" t="s">
        <v>375</v>
      </c>
      <c r="I2" s="50"/>
    </row>
    <row r="3" spans="2:19" s="47" customFormat="1" ht="6.75" customHeight="1">
      <c r="I3" s="48"/>
    </row>
    <row r="4" spans="2:19">
      <c r="C4" t="s">
        <v>383</v>
      </c>
      <c r="I4" s="17"/>
    </row>
    <row r="6" spans="2:19">
      <c r="C6" s="44" t="s">
        <v>38</v>
      </c>
      <c r="D6" s="12"/>
      <c r="E6" s="13"/>
      <c r="F6" s="13"/>
      <c r="G6" s="13"/>
      <c r="H6" s="13"/>
      <c r="I6" s="13"/>
      <c r="J6" s="13"/>
      <c r="K6" s="13"/>
      <c r="L6" s="13"/>
      <c r="M6" s="13"/>
      <c r="N6" s="13"/>
      <c r="O6" s="13"/>
      <c r="P6" s="13"/>
      <c r="Q6" s="13"/>
      <c r="R6" s="13"/>
      <c r="S6" s="14"/>
    </row>
    <row r="7" spans="2:19">
      <c r="C7" s="44" t="s">
        <v>369</v>
      </c>
      <c r="D7" s="12"/>
      <c r="E7" s="13"/>
      <c r="F7" s="13"/>
      <c r="G7" s="13"/>
      <c r="H7" s="13"/>
      <c r="I7" s="13"/>
      <c r="J7" s="13"/>
      <c r="K7" s="13"/>
      <c r="L7" s="13"/>
      <c r="M7" s="13"/>
      <c r="N7" s="13"/>
      <c r="O7" s="13"/>
      <c r="P7" s="13"/>
      <c r="Q7" s="13"/>
      <c r="R7" s="13"/>
      <c r="S7" s="14"/>
    </row>
    <row r="9" spans="2:19">
      <c r="G9" s="94" t="s">
        <v>344</v>
      </c>
      <c r="H9" s="94"/>
      <c r="I9" s="94"/>
      <c r="J9" s="94"/>
      <c r="K9" s="94"/>
      <c r="L9" s="94"/>
      <c r="M9" s="93"/>
      <c r="N9" s="94" t="s">
        <v>345</v>
      </c>
      <c r="O9" s="94"/>
      <c r="P9" s="94"/>
      <c r="Q9" s="94"/>
      <c r="R9" s="94"/>
      <c r="S9" s="94"/>
    </row>
    <row r="10" spans="2:19">
      <c r="G10" s="119" t="s">
        <v>312</v>
      </c>
      <c r="H10" s="119" t="s">
        <v>376</v>
      </c>
      <c r="I10" s="119" t="s">
        <v>309</v>
      </c>
      <c r="J10" s="119" t="s">
        <v>377</v>
      </c>
      <c r="K10" s="94" t="s">
        <v>355</v>
      </c>
      <c r="L10" s="94"/>
      <c r="M10" s="93"/>
      <c r="N10" s="119" t="s">
        <v>312</v>
      </c>
      <c r="O10" s="119" t="s">
        <v>376</v>
      </c>
      <c r="P10" s="119" t="s">
        <v>309</v>
      </c>
      <c r="Q10" s="119" t="s">
        <v>377</v>
      </c>
      <c r="R10" s="94" t="s">
        <v>355</v>
      </c>
      <c r="S10" s="94"/>
    </row>
    <row r="11" spans="2:19">
      <c r="C11" s="15" t="s">
        <v>41</v>
      </c>
      <c r="D11" s="15" t="s">
        <v>39</v>
      </c>
      <c r="E11" s="15" t="s">
        <v>340</v>
      </c>
      <c r="G11" s="120"/>
      <c r="H11" s="120"/>
      <c r="I11" s="120"/>
      <c r="J11" s="120"/>
      <c r="K11" s="15" t="s">
        <v>356</v>
      </c>
      <c r="L11" s="15" t="s">
        <v>357</v>
      </c>
      <c r="M11" s="93"/>
      <c r="N11" s="120"/>
      <c r="O11" s="120"/>
      <c r="P11" s="120"/>
      <c r="Q11" s="120"/>
      <c r="R11" s="15" t="s">
        <v>356</v>
      </c>
      <c r="S11" s="15" t="s">
        <v>357</v>
      </c>
    </row>
    <row r="12" spans="2:19" s="95" customFormat="1">
      <c r="C12" s="24" t="s">
        <v>381</v>
      </c>
      <c r="D12" s="96" t="s">
        <v>382</v>
      </c>
      <c r="E12" s="96" t="s">
        <v>341</v>
      </c>
      <c r="G12" s="96" t="s">
        <v>378</v>
      </c>
      <c r="H12" s="97" t="s">
        <v>371</v>
      </c>
      <c r="I12" s="97">
        <v>42037</v>
      </c>
      <c r="J12" s="96" t="s">
        <v>379</v>
      </c>
      <c r="K12" s="96">
        <v>115</v>
      </c>
      <c r="L12" s="96" t="s">
        <v>380</v>
      </c>
      <c r="M12" s="115" t="s">
        <v>368</v>
      </c>
      <c r="N12" s="96" t="s">
        <v>378</v>
      </c>
      <c r="O12" s="97" t="s">
        <v>371</v>
      </c>
      <c r="P12" s="97">
        <v>42037</v>
      </c>
      <c r="Q12" s="96" t="s">
        <v>379</v>
      </c>
      <c r="R12" s="96">
        <v>115</v>
      </c>
      <c r="S12" s="96" t="s">
        <v>380</v>
      </c>
    </row>
    <row r="13" spans="2:19" s="95" customFormat="1">
      <c r="C13" s="24"/>
      <c r="D13" s="96"/>
      <c r="E13" s="96"/>
      <c r="G13" s="96"/>
      <c r="H13" s="97"/>
      <c r="I13" s="97"/>
      <c r="J13" s="96"/>
      <c r="K13" s="96"/>
      <c r="L13" s="96"/>
      <c r="N13" s="96"/>
      <c r="O13" s="97"/>
      <c r="P13" s="97"/>
      <c r="Q13" s="96"/>
      <c r="R13" s="96"/>
      <c r="S13" s="96"/>
    </row>
  </sheetData>
  <mergeCells count="8">
    <mergeCell ref="O10:O11"/>
    <mergeCell ref="P10:P11"/>
    <mergeCell ref="Q10:Q11"/>
    <mergeCell ref="N10:N11"/>
    <mergeCell ref="G10:G11"/>
    <mergeCell ref="H10:H11"/>
    <mergeCell ref="I10:I11"/>
    <mergeCell ref="J10:J11"/>
  </mergeCells>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M24"/>
  <sheetViews>
    <sheetView showGridLines="0" zoomScaleNormal="100" workbookViewId="0"/>
  </sheetViews>
  <sheetFormatPr defaultColWidth="0" defaultRowHeight="13.5" zeroHeight="1"/>
  <cols>
    <col min="1" max="3" width="3.5" customWidth="1"/>
    <col min="4" max="4" width="21.875" bestFit="1" customWidth="1"/>
    <col min="5" max="5" width="27.5" customWidth="1"/>
    <col min="6" max="7" width="3.5" customWidth="1"/>
    <col min="8" max="8" width="21.625" bestFit="1" customWidth="1"/>
    <col min="9" max="9" width="19" customWidth="1"/>
    <col min="10" max="32" width="3.5" customWidth="1"/>
    <col min="33" max="39" width="0" hidden="1" customWidth="1"/>
    <col min="40" max="16384" width="3.5" hidden="1"/>
  </cols>
  <sheetData>
    <row r="1" spans="2:31">
      <c r="E1" s="87" t="s">
        <v>83</v>
      </c>
    </row>
    <row r="2" spans="2:31" s="65" customFormat="1" ht="19.5" thickBot="1">
      <c r="B2" s="64" t="s">
        <v>265</v>
      </c>
      <c r="D2" s="63"/>
    </row>
    <row r="3" spans="2:31">
      <c r="C3" s="80"/>
      <c r="D3" s="72"/>
      <c r="E3" s="72">
        <v>8</v>
      </c>
      <c r="F3" s="72"/>
      <c r="G3" s="72"/>
      <c r="H3" s="72"/>
      <c r="I3" s="72"/>
      <c r="J3" s="72"/>
      <c r="K3" s="72"/>
      <c r="L3" s="72"/>
      <c r="M3" s="72"/>
      <c r="N3" s="72"/>
      <c r="O3" s="72"/>
      <c r="P3" s="72"/>
      <c r="Q3" s="72"/>
      <c r="R3" s="72"/>
      <c r="S3" s="72"/>
      <c r="T3" s="72"/>
      <c r="U3" s="72"/>
      <c r="V3" s="72"/>
      <c r="W3" s="72"/>
      <c r="X3" s="72"/>
      <c r="Y3" s="72"/>
      <c r="Z3" s="72"/>
      <c r="AA3" s="72"/>
      <c r="AB3" s="72"/>
      <c r="AC3" s="72"/>
      <c r="AD3" s="72"/>
      <c r="AE3" s="73"/>
    </row>
    <row r="4" spans="2:31">
      <c r="C4" s="74"/>
      <c r="D4" s="79" t="s">
        <v>73</v>
      </c>
      <c r="E4" s="88" t="str">
        <f>VLOOKUP($E$3,デバッグ用シート!$B:$F,ROW()-2,FALSE)</f>
        <v>単体試験</v>
      </c>
      <c r="F4" s="75"/>
      <c r="G4" s="75"/>
      <c r="H4" s="75"/>
      <c r="I4" s="75"/>
      <c r="J4" s="75"/>
      <c r="K4" s="75"/>
      <c r="L4" s="75"/>
      <c r="M4" s="75"/>
      <c r="N4" s="75"/>
      <c r="O4" s="75"/>
      <c r="P4" s="75"/>
      <c r="Q4" s="75"/>
      <c r="R4" s="75"/>
      <c r="S4" s="75"/>
      <c r="T4" s="75"/>
      <c r="U4" s="75"/>
      <c r="V4" s="75"/>
      <c r="W4" s="75"/>
      <c r="X4" s="75"/>
      <c r="Y4" s="75"/>
      <c r="Z4" s="75"/>
      <c r="AA4" s="75"/>
      <c r="AB4" s="75"/>
      <c r="AC4" s="75"/>
      <c r="AD4" s="75"/>
      <c r="AE4" s="76"/>
    </row>
    <row r="5" spans="2:31">
      <c r="C5" s="74"/>
      <c r="D5" s="79" t="s">
        <v>142</v>
      </c>
      <c r="E5" s="88" t="str">
        <f>VLOOKUP($E$3,デバッグ用シート!$B:$F,ROW()-2,FALSE)</f>
        <v>02_診断モニタ変更</v>
      </c>
      <c r="F5" s="75"/>
      <c r="G5" s="75"/>
      <c r="H5" s="75"/>
      <c r="I5" s="75"/>
      <c r="J5" s="75"/>
      <c r="K5" s="75"/>
      <c r="L5" s="75"/>
      <c r="M5" s="75"/>
      <c r="N5" s="75"/>
      <c r="O5" s="75"/>
      <c r="P5" s="75"/>
      <c r="Q5" s="75"/>
      <c r="R5" s="75"/>
      <c r="S5" s="75"/>
      <c r="T5" s="75"/>
      <c r="U5" s="75"/>
      <c r="V5" s="75"/>
      <c r="W5" s="75"/>
      <c r="X5" s="75"/>
      <c r="Y5" s="75"/>
      <c r="Z5" s="75"/>
      <c r="AA5" s="75"/>
      <c r="AB5" s="75"/>
      <c r="AC5" s="75"/>
      <c r="AD5" s="75"/>
      <c r="AE5" s="76"/>
    </row>
    <row r="6" spans="2:31">
      <c r="C6" s="74"/>
      <c r="D6" s="79" t="s">
        <v>0</v>
      </c>
      <c r="E6" s="121" t="str">
        <f>VLOOKUP($E$3,デバッグ用シート!$B:$F,ROW()-2,FALSE)</f>
        <v>C:\Coffer\svn_PTM\trunk\03_管理\30_ツール\test\TF2次プロト2nd単体試験項目書_02_診断モニタ変更_dgMonCanLocalComErr-16686_○2.xls</v>
      </c>
      <c r="F6" s="122"/>
      <c r="G6" s="122"/>
      <c r="H6" s="122"/>
      <c r="I6" s="122"/>
      <c r="J6" s="122"/>
      <c r="K6" s="122"/>
      <c r="L6" s="122"/>
      <c r="M6" s="122"/>
      <c r="N6" s="122"/>
      <c r="O6" s="122"/>
      <c r="P6" s="122"/>
      <c r="Q6" s="122"/>
      <c r="R6" s="122"/>
      <c r="S6" s="122"/>
      <c r="T6" s="122"/>
      <c r="U6" s="122"/>
      <c r="V6" s="122"/>
      <c r="W6" s="122"/>
      <c r="X6" s="122"/>
      <c r="Y6" s="122"/>
      <c r="Z6" s="122"/>
      <c r="AA6" s="122"/>
      <c r="AB6" s="123"/>
      <c r="AC6" s="75"/>
      <c r="AD6" s="75"/>
      <c r="AE6" s="76"/>
    </row>
    <row r="7" spans="2:31">
      <c r="C7" s="74"/>
      <c r="D7" s="79" t="s">
        <v>1</v>
      </c>
      <c r="E7" s="121" t="str">
        <f>VLOOKUP($E$3,デバッグ用シート!$B:$F,ROW()-2,FALSE)</f>
        <v>C:\Coffer\svn_PTM\test\11_TF2次プロト2nd\31_単体試験ログ</v>
      </c>
      <c r="F7" s="122"/>
      <c r="G7" s="122"/>
      <c r="H7" s="122"/>
      <c r="I7" s="122"/>
      <c r="J7" s="122"/>
      <c r="K7" s="122"/>
      <c r="L7" s="122"/>
      <c r="M7" s="122"/>
      <c r="N7" s="122"/>
      <c r="O7" s="122"/>
      <c r="P7" s="122"/>
      <c r="Q7" s="122"/>
      <c r="R7" s="122"/>
      <c r="S7" s="122"/>
      <c r="T7" s="122"/>
      <c r="U7" s="122"/>
      <c r="V7" s="122"/>
      <c r="W7" s="122"/>
      <c r="X7" s="122"/>
      <c r="Y7" s="122"/>
      <c r="Z7" s="122"/>
      <c r="AA7" s="122"/>
      <c r="AB7" s="123"/>
      <c r="AC7" s="75"/>
      <c r="AD7" s="75"/>
      <c r="AE7" s="76"/>
    </row>
    <row r="8" spans="2:31" ht="14.25" thickBot="1">
      <c r="C8" s="74"/>
      <c r="D8" s="75"/>
      <c r="E8" s="75"/>
      <c r="F8" s="75"/>
      <c r="G8" s="75"/>
      <c r="H8" s="75"/>
      <c r="I8" s="75"/>
      <c r="J8" s="75"/>
      <c r="K8" s="75"/>
      <c r="L8" s="75"/>
      <c r="M8" s="75"/>
      <c r="N8" s="75"/>
      <c r="O8" s="75"/>
      <c r="P8" s="75"/>
      <c r="Q8" s="75"/>
      <c r="R8" s="75"/>
      <c r="S8" s="75"/>
      <c r="T8" s="75"/>
      <c r="U8" s="75"/>
      <c r="V8" s="75"/>
      <c r="W8" s="75"/>
      <c r="X8" s="75"/>
      <c r="Y8" s="75"/>
      <c r="Z8" s="75"/>
      <c r="AA8" s="75"/>
      <c r="AB8" s="75"/>
      <c r="AC8" s="75"/>
      <c r="AD8" s="75"/>
      <c r="AE8" s="76"/>
    </row>
    <row r="9" spans="2:31">
      <c r="C9" s="74"/>
      <c r="D9" s="86" t="s">
        <v>264</v>
      </c>
      <c r="E9" s="81"/>
      <c r="F9" s="75"/>
      <c r="G9" s="113" t="s">
        <v>384</v>
      </c>
      <c r="H9" s="103"/>
      <c r="I9" s="103"/>
      <c r="J9" s="103"/>
      <c r="K9" s="103"/>
      <c r="L9" s="103"/>
      <c r="M9" s="103"/>
      <c r="N9" s="103"/>
      <c r="O9" s="103"/>
      <c r="P9" s="104"/>
      <c r="Q9" s="75"/>
      <c r="R9" s="99"/>
      <c r="S9" s="100"/>
      <c r="T9" s="100"/>
      <c r="U9" s="100"/>
      <c r="V9" s="100"/>
      <c r="W9" s="100"/>
      <c r="X9" s="100"/>
      <c r="Y9" s="100"/>
      <c r="Z9" s="100"/>
      <c r="AA9" s="100"/>
      <c r="AB9" s="100"/>
      <c r="AC9" s="100"/>
      <c r="AD9" s="100"/>
      <c r="AE9" s="100"/>
    </row>
    <row r="10" spans="2:31">
      <c r="C10" s="74"/>
      <c r="D10" s="82"/>
      <c r="E10" s="83"/>
      <c r="F10" s="75"/>
      <c r="G10" s="105"/>
      <c r="H10" s="114" t="s">
        <v>312</v>
      </c>
      <c r="I10" s="116" t="s">
        <v>411</v>
      </c>
      <c r="J10" s="106"/>
      <c r="K10" s="106"/>
      <c r="L10" s="106"/>
      <c r="M10" s="106"/>
      <c r="N10" s="106"/>
      <c r="O10" s="106"/>
      <c r="P10" s="107"/>
      <c r="Q10" s="75"/>
      <c r="R10" s="101"/>
      <c r="S10" s="102"/>
      <c r="T10" s="102"/>
      <c r="U10" s="102"/>
      <c r="V10" s="102"/>
      <c r="W10" s="102"/>
      <c r="X10" s="102"/>
      <c r="Y10" s="102"/>
      <c r="Z10" s="102"/>
      <c r="AA10" s="102"/>
      <c r="AB10" s="102"/>
      <c r="AC10" s="102"/>
      <c r="AD10" s="102"/>
      <c r="AE10" s="102"/>
    </row>
    <row r="11" spans="2:31">
      <c r="C11" s="74"/>
      <c r="D11" s="82"/>
      <c r="E11" s="83"/>
      <c r="F11" s="75"/>
      <c r="G11" s="105"/>
      <c r="H11" s="114" t="s">
        <v>309</v>
      </c>
      <c r="I11" s="117">
        <v>42113</v>
      </c>
      <c r="J11" s="106"/>
      <c r="K11" s="106"/>
      <c r="L11" s="106"/>
      <c r="M11" s="106"/>
      <c r="N11" s="106"/>
      <c r="O11" s="106"/>
      <c r="P11" s="107"/>
      <c r="Q11" s="75"/>
      <c r="R11" s="101"/>
      <c r="S11" s="102"/>
      <c r="T11" s="102"/>
      <c r="U11" s="102"/>
      <c r="V11" s="102"/>
      <c r="W11" s="102"/>
      <c r="X11" s="102"/>
      <c r="Y11" s="102"/>
      <c r="Z11" s="102"/>
      <c r="AA11" s="102"/>
      <c r="AB11" s="102"/>
      <c r="AC11" s="102"/>
      <c r="AD11" s="102"/>
      <c r="AE11" s="102"/>
    </row>
    <row r="12" spans="2:31">
      <c r="C12" s="74"/>
      <c r="D12" s="82"/>
      <c r="E12" s="83"/>
      <c r="F12" s="75"/>
      <c r="G12" s="105"/>
      <c r="H12" s="114" t="s">
        <v>310</v>
      </c>
      <c r="I12" s="118" t="s">
        <v>412</v>
      </c>
      <c r="J12" s="106"/>
      <c r="K12" s="106"/>
      <c r="L12" s="106"/>
      <c r="M12" s="106"/>
      <c r="N12" s="106"/>
      <c r="O12" s="106"/>
      <c r="P12" s="107"/>
      <c r="Q12" s="75"/>
      <c r="R12" s="101"/>
      <c r="S12" s="102"/>
      <c r="T12" s="102"/>
      <c r="U12" s="102"/>
      <c r="V12" s="102"/>
      <c r="W12" s="102"/>
      <c r="X12" s="102"/>
      <c r="Y12" s="102"/>
      <c r="Z12" s="102"/>
      <c r="AA12" s="102"/>
      <c r="AB12" s="102"/>
      <c r="AC12" s="102"/>
      <c r="AD12" s="102"/>
      <c r="AE12" s="102"/>
    </row>
    <row r="13" spans="2:31" ht="14.25" thickBot="1">
      <c r="C13" s="74"/>
      <c r="D13" s="84"/>
      <c r="E13" s="85"/>
      <c r="F13" s="75"/>
      <c r="G13" s="105"/>
      <c r="H13" s="114" t="s">
        <v>385</v>
      </c>
      <c r="I13" s="118" t="s">
        <v>389</v>
      </c>
      <c r="J13" s="106"/>
      <c r="K13" s="106"/>
      <c r="L13" s="106"/>
      <c r="M13" s="106"/>
      <c r="N13" s="106"/>
      <c r="O13" s="106"/>
      <c r="P13" s="107"/>
      <c r="Q13" s="75"/>
      <c r="R13" s="101"/>
      <c r="S13" s="102"/>
      <c r="T13" s="102"/>
      <c r="U13" s="102"/>
      <c r="V13" s="102"/>
      <c r="W13" s="102"/>
      <c r="X13" s="102"/>
      <c r="Y13" s="102"/>
      <c r="Z13" s="102"/>
      <c r="AA13" s="102"/>
      <c r="AB13" s="102"/>
      <c r="AC13" s="102"/>
      <c r="AD13" s="102"/>
      <c r="AE13" s="102"/>
    </row>
    <row r="14" spans="2:31">
      <c r="C14" s="74"/>
      <c r="D14" s="75"/>
      <c r="E14" s="75"/>
      <c r="F14" s="75"/>
      <c r="G14" s="105"/>
      <c r="H14" s="114" t="s">
        <v>388</v>
      </c>
      <c r="I14" s="116">
        <v>111</v>
      </c>
      <c r="J14" s="106"/>
      <c r="K14" s="106"/>
      <c r="L14" s="106"/>
      <c r="M14" s="106"/>
      <c r="N14" s="106"/>
      <c r="O14" s="106"/>
      <c r="P14" s="107"/>
      <c r="Q14" s="75"/>
      <c r="R14" s="101"/>
      <c r="S14" s="102"/>
      <c r="T14" s="102"/>
      <c r="U14" s="102"/>
      <c r="V14" s="102"/>
      <c r="W14" s="102"/>
      <c r="X14" s="102"/>
      <c r="Y14" s="102"/>
      <c r="Z14" s="102"/>
      <c r="AA14" s="102"/>
      <c r="AB14" s="102"/>
      <c r="AC14" s="102"/>
      <c r="AD14" s="102"/>
      <c r="AE14" s="102"/>
    </row>
    <row r="15" spans="2:31">
      <c r="C15" s="74"/>
      <c r="D15" s="75"/>
      <c r="E15" s="75"/>
      <c r="F15" s="75"/>
      <c r="G15" s="105"/>
      <c r="H15" s="114" t="s">
        <v>386</v>
      </c>
      <c r="I15" s="116"/>
      <c r="J15" s="106"/>
      <c r="K15" s="106"/>
      <c r="L15" s="106"/>
      <c r="M15" s="106"/>
      <c r="N15" s="106"/>
      <c r="O15" s="106"/>
      <c r="P15" s="107"/>
      <c r="Q15" s="75"/>
      <c r="R15" s="101"/>
      <c r="S15" s="102"/>
      <c r="T15" s="102"/>
      <c r="U15" s="102"/>
      <c r="V15" s="102"/>
      <c r="W15" s="102"/>
      <c r="X15" s="102"/>
      <c r="Y15" s="102"/>
      <c r="Z15" s="102"/>
      <c r="AA15" s="102"/>
      <c r="AB15" s="102"/>
      <c r="AC15" s="102"/>
      <c r="AD15" s="102"/>
      <c r="AE15" s="102"/>
    </row>
    <row r="16" spans="2:31">
      <c r="C16" s="74"/>
      <c r="D16" s="75"/>
      <c r="E16" s="75"/>
      <c r="F16" s="75"/>
      <c r="G16" s="105"/>
      <c r="H16" s="114" t="s">
        <v>387</v>
      </c>
      <c r="I16" s="116"/>
      <c r="J16" s="106"/>
      <c r="K16" s="106"/>
      <c r="L16" s="106"/>
      <c r="M16" s="106"/>
      <c r="N16" s="106"/>
      <c r="O16" s="106"/>
      <c r="P16" s="107"/>
      <c r="Q16" s="75"/>
      <c r="R16" s="101"/>
      <c r="S16" s="102"/>
      <c r="T16" s="102"/>
      <c r="U16" s="102"/>
      <c r="V16" s="102"/>
      <c r="W16" s="102"/>
      <c r="X16" s="102"/>
      <c r="Y16" s="102"/>
      <c r="Z16" s="102"/>
      <c r="AA16" s="102"/>
      <c r="AB16" s="102"/>
      <c r="AC16" s="102"/>
      <c r="AD16" s="102"/>
      <c r="AE16" s="102"/>
    </row>
    <row r="17" spans="3:31" ht="14.25" thickBot="1">
      <c r="C17" s="74"/>
      <c r="D17" s="75"/>
      <c r="E17" s="75"/>
      <c r="F17" s="75"/>
      <c r="G17" s="108"/>
      <c r="H17" s="109"/>
      <c r="I17" s="110"/>
      <c r="J17" s="111"/>
      <c r="K17" s="111"/>
      <c r="L17" s="111"/>
      <c r="M17" s="111"/>
      <c r="N17" s="111"/>
      <c r="O17" s="111"/>
      <c r="P17" s="112"/>
      <c r="Q17" s="75"/>
      <c r="R17" s="101"/>
      <c r="S17" s="102"/>
      <c r="T17" s="102"/>
      <c r="U17" s="102"/>
      <c r="V17" s="102"/>
      <c r="W17" s="102"/>
      <c r="X17" s="102"/>
      <c r="Y17" s="102"/>
      <c r="Z17" s="102"/>
      <c r="AA17" s="102"/>
      <c r="AB17" s="102"/>
      <c r="AC17" s="102"/>
      <c r="AD17" s="102"/>
      <c r="AE17" s="102"/>
    </row>
    <row r="18" spans="3:31" ht="14.25" thickBot="1">
      <c r="C18" s="77"/>
      <c r="D18" s="78"/>
      <c r="E18" s="78"/>
      <c r="F18" s="78"/>
      <c r="G18" s="78"/>
      <c r="H18" s="98"/>
      <c r="I18" s="78"/>
      <c r="J18" s="78"/>
      <c r="K18" s="78"/>
      <c r="L18" s="78"/>
      <c r="M18" s="78"/>
      <c r="N18" s="78"/>
      <c r="O18" s="78"/>
      <c r="P18" s="78"/>
      <c r="Q18" s="78"/>
      <c r="R18" s="101"/>
      <c r="S18" s="102"/>
      <c r="T18" s="102"/>
      <c r="U18" s="102"/>
      <c r="V18" s="102"/>
      <c r="W18" s="102"/>
      <c r="X18" s="102"/>
      <c r="Y18" s="102"/>
      <c r="Z18" s="102"/>
      <c r="AA18" s="102"/>
      <c r="AB18" s="102"/>
      <c r="AC18" s="102"/>
      <c r="AD18" s="102"/>
      <c r="AE18" s="102"/>
    </row>
    <row r="19" spans="3:31"/>
    <row r="20" spans="3:31" hidden="1"/>
    <row r="21" spans="3:31" hidden="1"/>
    <row r="22" spans="3:31" hidden="1"/>
    <row r="23" spans="3:31" hidden="1"/>
    <row r="24" spans="3:31" hidden="1"/>
  </sheetData>
  <mergeCells count="2">
    <mergeCell ref="E6:AB6"/>
    <mergeCell ref="E7:AB7"/>
  </mergeCells>
  <phoneticPr fontId="2"/>
  <conditionalFormatting sqref="I15:I16">
    <cfRule type="expression" dxfId="1" priority="4">
      <formula>$E$4="単体試験"</formula>
    </cfRule>
  </conditionalFormatting>
  <conditionalFormatting sqref="I14">
    <cfRule type="expression" dxfId="0" priority="1">
      <formula>$E$4&lt;&gt;"単体試験"</formula>
    </cfRule>
  </conditionalFormatting>
  <dataValidations count="2">
    <dataValidation showInputMessage="1" showErrorMessage="1" sqref="E4:E5"/>
    <dataValidation type="list" showInputMessage="1" showErrorMessage="1" sqref="E1">
      <formula1>"単体試験,結合試験,機能試験,システム試験"</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0" r:id="rId4" name="Button 10">
              <controlPr defaultSize="0" print="0" autoFill="0" autoPict="0" macro="[0]!ChkButton_Click">
                <anchor moveWithCells="1" sizeWithCells="1">
                  <from>
                    <xdr:col>3</xdr:col>
                    <xdr:colOff>257175</xdr:colOff>
                    <xdr:row>9</xdr:row>
                    <xdr:rowOff>19050</xdr:rowOff>
                  </from>
                  <to>
                    <xdr:col>4</xdr:col>
                    <xdr:colOff>1876425</xdr:colOff>
                    <xdr:row>12</xdr:row>
                    <xdr:rowOff>0</xdr:rowOff>
                  </to>
                </anchor>
              </controlPr>
            </control>
          </mc:Choice>
        </mc:AlternateContent>
        <mc:AlternateContent xmlns:mc="http://schemas.openxmlformats.org/markup-compatibility/2006">
          <mc:Choice Requires="x14">
            <control shapeId="10259" r:id="rId5" name="Button 19">
              <controlPr defaultSize="0" print="0" autoFill="0" autoPict="0" macro="[0]!DocFilePathRefButton_Click">
                <anchor moveWithCells="1" sizeWithCells="1">
                  <from>
                    <xdr:col>29</xdr:col>
                    <xdr:colOff>0</xdr:colOff>
                    <xdr:row>5</xdr:row>
                    <xdr:rowOff>0</xdr:rowOff>
                  </from>
                  <to>
                    <xdr:col>30</xdr:col>
                    <xdr:colOff>0</xdr:colOff>
                    <xdr:row>6</xdr:row>
                    <xdr:rowOff>0</xdr:rowOff>
                  </to>
                </anchor>
              </controlPr>
            </control>
          </mc:Choice>
        </mc:AlternateContent>
        <mc:AlternateContent xmlns:mc="http://schemas.openxmlformats.org/markup-compatibility/2006">
          <mc:Choice Requires="x14">
            <control shapeId="10260" r:id="rId6" name="Button 20">
              <controlPr defaultSize="0" print="0" autoFill="0" autoPict="0" macro="[0]!LogDirPathRefButton_Click">
                <anchor moveWithCells="1" sizeWithCells="1">
                  <from>
                    <xdr:col>29</xdr:col>
                    <xdr:colOff>0</xdr:colOff>
                    <xdr:row>6</xdr:row>
                    <xdr:rowOff>0</xdr:rowOff>
                  </from>
                  <to>
                    <xdr:col>30</xdr:col>
                    <xdr:colOff>0</xdr:colOff>
                    <xdr:row>7</xdr:row>
                    <xdr:rowOff>0</xdr:rowOff>
                  </to>
                </anchor>
              </controlPr>
            </control>
          </mc:Choice>
        </mc:AlternateContent>
        <mc:AlternateContent xmlns:mc="http://schemas.openxmlformats.org/markup-compatibility/2006">
          <mc:Choice Requires="x14">
            <control shapeId="10277" r:id="rId7" name="Button 37">
              <controlPr defaultSize="0" print="0" autoFill="0" autoPict="0" macro="[0]!WriTestRsltButton_Click">
                <anchor moveWithCells="1" sizeWithCells="1">
                  <from>
                    <xdr:col>10</xdr:col>
                    <xdr:colOff>0</xdr:colOff>
                    <xdr:row>9</xdr:row>
                    <xdr:rowOff>0</xdr:rowOff>
                  </from>
                  <to>
                    <xdr:col>15</xdr:col>
                    <xdr:colOff>0</xdr:colOff>
                    <xdr:row>16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WVO14"/>
  <sheetViews>
    <sheetView showGridLines="0" workbookViewId="0">
      <pane ySplit="4" topLeftCell="A5" activePane="bottomLeft" state="frozen"/>
      <selection pane="bottomLeft" activeCell="A5" sqref="A5"/>
    </sheetView>
  </sheetViews>
  <sheetFormatPr defaultColWidth="0" defaultRowHeight="13.5" customHeight="1" zeroHeight="1"/>
  <cols>
    <col min="1" max="2" width="2.625" style="55" customWidth="1"/>
    <col min="3" max="3" width="12" style="56" customWidth="1"/>
    <col min="4" max="4" width="11.625" style="56" bestFit="1" customWidth="1"/>
    <col min="5" max="5" width="7.5" style="56" customWidth="1"/>
    <col min="6" max="6" width="84.125" style="56" customWidth="1"/>
    <col min="7" max="7" width="2.625" style="55" customWidth="1"/>
    <col min="8" max="256" width="9" style="55" hidden="1" customWidth="1"/>
    <col min="257" max="258" width="2.625" style="55" hidden="1" customWidth="1"/>
    <col min="259" max="259" width="12" style="55" hidden="1" customWidth="1"/>
    <col min="260" max="260" width="11.625" style="55" hidden="1" customWidth="1"/>
    <col min="261" max="261" width="7.5" style="55" hidden="1" customWidth="1"/>
    <col min="262" max="262" width="84.125" style="55" hidden="1" customWidth="1"/>
    <col min="263" max="263" width="2.625" style="55" hidden="1" customWidth="1"/>
    <col min="264" max="512" width="0" style="55" hidden="1"/>
    <col min="513" max="514" width="2.625" style="55" hidden="1" customWidth="1"/>
    <col min="515" max="515" width="12" style="55" hidden="1" customWidth="1"/>
    <col min="516" max="516" width="11.625" style="55" hidden="1" customWidth="1"/>
    <col min="517" max="517" width="7.5" style="55" hidden="1" customWidth="1"/>
    <col min="518" max="518" width="84.125" style="55" hidden="1" customWidth="1"/>
    <col min="519" max="519" width="2.625" style="55" hidden="1" customWidth="1"/>
    <col min="520" max="768" width="0" style="55" hidden="1"/>
    <col min="769" max="770" width="2.625" style="55" hidden="1" customWidth="1"/>
    <col min="771" max="771" width="12" style="55" hidden="1" customWidth="1"/>
    <col min="772" max="772" width="11.625" style="55" hidden="1" customWidth="1"/>
    <col min="773" max="773" width="7.5" style="55" hidden="1" customWidth="1"/>
    <col min="774" max="774" width="84.125" style="55" hidden="1" customWidth="1"/>
    <col min="775" max="775" width="2.625" style="55" hidden="1" customWidth="1"/>
    <col min="776" max="1024" width="0" style="55" hidden="1"/>
    <col min="1025" max="1026" width="2.625" style="55" hidden="1" customWidth="1"/>
    <col min="1027" max="1027" width="12" style="55" hidden="1" customWidth="1"/>
    <col min="1028" max="1028" width="11.625" style="55" hidden="1" customWidth="1"/>
    <col min="1029" max="1029" width="7.5" style="55" hidden="1" customWidth="1"/>
    <col min="1030" max="1030" width="84.125" style="55" hidden="1" customWidth="1"/>
    <col min="1031" max="1031" width="2.625" style="55" hidden="1" customWidth="1"/>
    <col min="1032" max="1280" width="0" style="55" hidden="1"/>
    <col min="1281" max="1282" width="2.625" style="55" hidden="1" customWidth="1"/>
    <col min="1283" max="1283" width="12" style="55" hidden="1" customWidth="1"/>
    <col min="1284" max="1284" width="11.625" style="55" hidden="1" customWidth="1"/>
    <col min="1285" max="1285" width="7.5" style="55" hidden="1" customWidth="1"/>
    <col min="1286" max="1286" width="84.125" style="55" hidden="1" customWidth="1"/>
    <col min="1287" max="1287" width="2.625" style="55" hidden="1" customWidth="1"/>
    <col min="1288" max="1536" width="0" style="55" hidden="1"/>
    <col min="1537" max="1538" width="2.625" style="55" hidden="1" customWidth="1"/>
    <col min="1539" max="1539" width="12" style="55" hidden="1" customWidth="1"/>
    <col min="1540" max="1540" width="11.625" style="55" hidden="1" customWidth="1"/>
    <col min="1541" max="1541" width="7.5" style="55" hidden="1" customWidth="1"/>
    <col min="1542" max="1542" width="84.125" style="55" hidden="1" customWidth="1"/>
    <col min="1543" max="1543" width="2.625" style="55" hidden="1" customWidth="1"/>
    <col min="1544" max="1792" width="0" style="55" hidden="1"/>
    <col min="1793" max="1794" width="2.625" style="55" hidden="1" customWidth="1"/>
    <col min="1795" max="1795" width="12" style="55" hidden="1" customWidth="1"/>
    <col min="1796" max="1796" width="11.625" style="55" hidden="1" customWidth="1"/>
    <col min="1797" max="1797" width="7.5" style="55" hidden="1" customWidth="1"/>
    <col min="1798" max="1798" width="84.125" style="55" hidden="1" customWidth="1"/>
    <col min="1799" max="1799" width="2.625" style="55" hidden="1" customWidth="1"/>
    <col min="1800" max="2048" width="0" style="55" hidden="1"/>
    <col min="2049" max="2050" width="2.625" style="55" hidden="1" customWidth="1"/>
    <col min="2051" max="2051" width="12" style="55" hidden="1" customWidth="1"/>
    <col min="2052" max="2052" width="11.625" style="55" hidden="1" customWidth="1"/>
    <col min="2053" max="2053" width="7.5" style="55" hidden="1" customWidth="1"/>
    <col min="2054" max="2054" width="84.125" style="55" hidden="1" customWidth="1"/>
    <col min="2055" max="2055" width="2.625" style="55" hidden="1" customWidth="1"/>
    <col min="2056" max="2304" width="0" style="55" hidden="1"/>
    <col min="2305" max="2306" width="2.625" style="55" hidden="1" customWidth="1"/>
    <col min="2307" max="2307" width="12" style="55" hidden="1" customWidth="1"/>
    <col min="2308" max="2308" width="11.625" style="55" hidden="1" customWidth="1"/>
    <col min="2309" max="2309" width="7.5" style="55" hidden="1" customWidth="1"/>
    <col min="2310" max="2310" width="84.125" style="55" hidden="1" customWidth="1"/>
    <col min="2311" max="2311" width="2.625" style="55" hidden="1" customWidth="1"/>
    <col min="2312" max="2560" width="0" style="55" hidden="1"/>
    <col min="2561" max="2562" width="2.625" style="55" hidden="1" customWidth="1"/>
    <col min="2563" max="2563" width="12" style="55" hidden="1" customWidth="1"/>
    <col min="2564" max="2564" width="11.625" style="55" hidden="1" customWidth="1"/>
    <col min="2565" max="2565" width="7.5" style="55" hidden="1" customWidth="1"/>
    <col min="2566" max="2566" width="84.125" style="55" hidden="1" customWidth="1"/>
    <col min="2567" max="2567" width="2.625" style="55" hidden="1" customWidth="1"/>
    <col min="2568" max="2816" width="0" style="55" hidden="1"/>
    <col min="2817" max="2818" width="2.625" style="55" hidden="1" customWidth="1"/>
    <col min="2819" max="2819" width="12" style="55" hidden="1" customWidth="1"/>
    <col min="2820" max="2820" width="11.625" style="55" hidden="1" customWidth="1"/>
    <col min="2821" max="2821" width="7.5" style="55" hidden="1" customWidth="1"/>
    <col min="2822" max="2822" width="84.125" style="55" hidden="1" customWidth="1"/>
    <col min="2823" max="2823" width="2.625" style="55" hidden="1" customWidth="1"/>
    <col min="2824" max="3072" width="0" style="55" hidden="1"/>
    <col min="3073" max="3074" width="2.625" style="55" hidden="1" customWidth="1"/>
    <col min="3075" max="3075" width="12" style="55" hidden="1" customWidth="1"/>
    <col min="3076" max="3076" width="11.625" style="55" hidden="1" customWidth="1"/>
    <col min="3077" max="3077" width="7.5" style="55" hidden="1" customWidth="1"/>
    <col min="3078" max="3078" width="84.125" style="55" hidden="1" customWidth="1"/>
    <col min="3079" max="3079" width="2.625" style="55" hidden="1" customWidth="1"/>
    <col min="3080" max="3328" width="0" style="55" hidden="1"/>
    <col min="3329" max="3330" width="2.625" style="55" hidden="1" customWidth="1"/>
    <col min="3331" max="3331" width="12" style="55" hidden="1" customWidth="1"/>
    <col min="3332" max="3332" width="11.625" style="55" hidden="1" customWidth="1"/>
    <col min="3333" max="3333" width="7.5" style="55" hidden="1" customWidth="1"/>
    <col min="3334" max="3334" width="84.125" style="55" hidden="1" customWidth="1"/>
    <col min="3335" max="3335" width="2.625" style="55" hidden="1" customWidth="1"/>
    <col min="3336" max="3584" width="0" style="55" hidden="1"/>
    <col min="3585" max="3586" width="2.625" style="55" hidden="1" customWidth="1"/>
    <col min="3587" max="3587" width="12" style="55" hidden="1" customWidth="1"/>
    <col min="3588" max="3588" width="11.625" style="55" hidden="1" customWidth="1"/>
    <col min="3589" max="3589" width="7.5" style="55" hidden="1" customWidth="1"/>
    <col min="3590" max="3590" width="84.125" style="55" hidden="1" customWidth="1"/>
    <col min="3591" max="3591" width="2.625" style="55" hidden="1" customWidth="1"/>
    <col min="3592" max="3840" width="0" style="55" hidden="1"/>
    <col min="3841" max="3842" width="2.625" style="55" hidden="1" customWidth="1"/>
    <col min="3843" max="3843" width="12" style="55" hidden="1" customWidth="1"/>
    <col min="3844" max="3844" width="11.625" style="55" hidden="1" customWidth="1"/>
    <col min="3845" max="3845" width="7.5" style="55" hidden="1" customWidth="1"/>
    <col min="3846" max="3846" width="84.125" style="55" hidden="1" customWidth="1"/>
    <col min="3847" max="3847" width="2.625" style="55" hidden="1" customWidth="1"/>
    <col min="3848" max="4096" width="0" style="55" hidden="1"/>
    <col min="4097" max="4098" width="2.625" style="55" hidden="1" customWidth="1"/>
    <col min="4099" max="4099" width="12" style="55" hidden="1" customWidth="1"/>
    <col min="4100" max="4100" width="11.625" style="55" hidden="1" customWidth="1"/>
    <col min="4101" max="4101" width="7.5" style="55" hidden="1" customWidth="1"/>
    <col min="4102" max="4102" width="84.125" style="55" hidden="1" customWidth="1"/>
    <col min="4103" max="4103" width="2.625" style="55" hidden="1" customWidth="1"/>
    <col min="4104" max="4352" width="0" style="55" hidden="1"/>
    <col min="4353" max="4354" width="2.625" style="55" hidden="1" customWidth="1"/>
    <col min="4355" max="4355" width="12" style="55" hidden="1" customWidth="1"/>
    <col min="4356" max="4356" width="11.625" style="55" hidden="1" customWidth="1"/>
    <col min="4357" max="4357" width="7.5" style="55" hidden="1" customWidth="1"/>
    <col min="4358" max="4358" width="84.125" style="55" hidden="1" customWidth="1"/>
    <col min="4359" max="4359" width="2.625" style="55" hidden="1" customWidth="1"/>
    <col min="4360" max="4608" width="0" style="55" hidden="1"/>
    <col min="4609" max="4610" width="2.625" style="55" hidden="1" customWidth="1"/>
    <col min="4611" max="4611" width="12" style="55" hidden="1" customWidth="1"/>
    <col min="4612" max="4612" width="11.625" style="55" hidden="1" customWidth="1"/>
    <col min="4613" max="4613" width="7.5" style="55" hidden="1" customWidth="1"/>
    <col min="4614" max="4614" width="84.125" style="55" hidden="1" customWidth="1"/>
    <col min="4615" max="4615" width="2.625" style="55" hidden="1" customWidth="1"/>
    <col min="4616" max="4864" width="0" style="55" hidden="1"/>
    <col min="4865" max="4866" width="2.625" style="55" hidden="1" customWidth="1"/>
    <col min="4867" max="4867" width="12" style="55" hidden="1" customWidth="1"/>
    <col min="4868" max="4868" width="11.625" style="55" hidden="1" customWidth="1"/>
    <col min="4869" max="4869" width="7.5" style="55" hidden="1" customWidth="1"/>
    <col min="4870" max="4870" width="84.125" style="55" hidden="1" customWidth="1"/>
    <col min="4871" max="4871" width="2.625" style="55" hidden="1" customWidth="1"/>
    <col min="4872" max="5120" width="0" style="55" hidden="1"/>
    <col min="5121" max="5122" width="2.625" style="55" hidden="1" customWidth="1"/>
    <col min="5123" max="5123" width="12" style="55" hidden="1" customWidth="1"/>
    <col min="5124" max="5124" width="11.625" style="55" hidden="1" customWidth="1"/>
    <col min="5125" max="5125" width="7.5" style="55" hidden="1" customWidth="1"/>
    <col min="5126" max="5126" width="84.125" style="55" hidden="1" customWidth="1"/>
    <col min="5127" max="5127" width="2.625" style="55" hidden="1" customWidth="1"/>
    <col min="5128" max="5376" width="0" style="55" hidden="1"/>
    <col min="5377" max="5378" width="2.625" style="55" hidden="1" customWidth="1"/>
    <col min="5379" max="5379" width="12" style="55" hidden="1" customWidth="1"/>
    <col min="5380" max="5380" width="11.625" style="55" hidden="1" customWidth="1"/>
    <col min="5381" max="5381" width="7.5" style="55" hidden="1" customWidth="1"/>
    <col min="5382" max="5382" width="84.125" style="55" hidden="1" customWidth="1"/>
    <col min="5383" max="5383" width="2.625" style="55" hidden="1" customWidth="1"/>
    <col min="5384" max="5632" width="0" style="55" hidden="1"/>
    <col min="5633" max="5634" width="2.625" style="55" hidden="1" customWidth="1"/>
    <col min="5635" max="5635" width="12" style="55" hidden="1" customWidth="1"/>
    <col min="5636" max="5636" width="11.625" style="55" hidden="1" customWidth="1"/>
    <col min="5637" max="5637" width="7.5" style="55" hidden="1" customWidth="1"/>
    <col min="5638" max="5638" width="84.125" style="55" hidden="1" customWidth="1"/>
    <col min="5639" max="5639" width="2.625" style="55" hidden="1" customWidth="1"/>
    <col min="5640" max="5888" width="0" style="55" hidden="1"/>
    <col min="5889" max="5890" width="2.625" style="55" hidden="1" customWidth="1"/>
    <col min="5891" max="5891" width="12" style="55" hidden="1" customWidth="1"/>
    <col min="5892" max="5892" width="11.625" style="55" hidden="1" customWidth="1"/>
    <col min="5893" max="5893" width="7.5" style="55" hidden="1" customWidth="1"/>
    <col min="5894" max="5894" width="84.125" style="55" hidden="1" customWidth="1"/>
    <col min="5895" max="5895" width="2.625" style="55" hidden="1" customWidth="1"/>
    <col min="5896" max="6144" width="0" style="55" hidden="1"/>
    <col min="6145" max="6146" width="2.625" style="55" hidden="1" customWidth="1"/>
    <col min="6147" max="6147" width="12" style="55" hidden="1" customWidth="1"/>
    <col min="6148" max="6148" width="11.625" style="55" hidden="1" customWidth="1"/>
    <col min="6149" max="6149" width="7.5" style="55" hidden="1" customWidth="1"/>
    <col min="6150" max="6150" width="84.125" style="55" hidden="1" customWidth="1"/>
    <col min="6151" max="6151" width="2.625" style="55" hidden="1" customWidth="1"/>
    <col min="6152" max="6400" width="0" style="55" hidden="1"/>
    <col min="6401" max="6402" width="2.625" style="55" hidden="1" customWidth="1"/>
    <col min="6403" max="6403" width="12" style="55" hidden="1" customWidth="1"/>
    <col min="6404" max="6404" width="11.625" style="55" hidden="1" customWidth="1"/>
    <col min="6405" max="6405" width="7.5" style="55" hidden="1" customWidth="1"/>
    <col min="6406" max="6406" width="84.125" style="55" hidden="1" customWidth="1"/>
    <col min="6407" max="6407" width="2.625" style="55" hidden="1" customWidth="1"/>
    <col min="6408" max="6656" width="0" style="55" hidden="1"/>
    <col min="6657" max="6658" width="2.625" style="55" hidden="1" customWidth="1"/>
    <col min="6659" max="6659" width="12" style="55" hidden="1" customWidth="1"/>
    <col min="6660" max="6660" width="11.625" style="55" hidden="1" customWidth="1"/>
    <col min="6661" max="6661" width="7.5" style="55" hidden="1" customWidth="1"/>
    <col min="6662" max="6662" width="84.125" style="55" hidden="1" customWidth="1"/>
    <col min="6663" max="6663" width="2.625" style="55" hidden="1" customWidth="1"/>
    <col min="6664" max="6912" width="0" style="55" hidden="1"/>
    <col min="6913" max="6914" width="2.625" style="55" hidden="1" customWidth="1"/>
    <col min="6915" max="6915" width="12" style="55" hidden="1" customWidth="1"/>
    <col min="6916" max="6916" width="11.625" style="55" hidden="1" customWidth="1"/>
    <col min="6917" max="6917" width="7.5" style="55" hidden="1" customWidth="1"/>
    <col min="6918" max="6918" width="84.125" style="55" hidden="1" customWidth="1"/>
    <col min="6919" max="6919" width="2.625" style="55" hidden="1" customWidth="1"/>
    <col min="6920" max="7168" width="0" style="55" hidden="1"/>
    <col min="7169" max="7170" width="2.625" style="55" hidden="1" customWidth="1"/>
    <col min="7171" max="7171" width="12" style="55" hidden="1" customWidth="1"/>
    <col min="7172" max="7172" width="11.625" style="55" hidden="1" customWidth="1"/>
    <col min="7173" max="7173" width="7.5" style="55" hidden="1" customWidth="1"/>
    <col min="7174" max="7174" width="84.125" style="55" hidden="1" customWidth="1"/>
    <col min="7175" max="7175" width="2.625" style="55" hidden="1" customWidth="1"/>
    <col min="7176" max="7424" width="0" style="55" hidden="1"/>
    <col min="7425" max="7426" width="2.625" style="55" hidden="1" customWidth="1"/>
    <col min="7427" max="7427" width="12" style="55" hidden="1" customWidth="1"/>
    <col min="7428" max="7428" width="11.625" style="55" hidden="1" customWidth="1"/>
    <col min="7429" max="7429" width="7.5" style="55" hidden="1" customWidth="1"/>
    <col min="7430" max="7430" width="84.125" style="55" hidden="1" customWidth="1"/>
    <col min="7431" max="7431" width="2.625" style="55" hidden="1" customWidth="1"/>
    <col min="7432" max="7680" width="0" style="55" hidden="1"/>
    <col min="7681" max="7682" width="2.625" style="55" hidden="1" customWidth="1"/>
    <col min="7683" max="7683" width="12" style="55" hidden="1" customWidth="1"/>
    <col min="7684" max="7684" width="11.625" style="55" hidden="1" customWidth="1"/>
    <col min="7685" max="7685" width="7.5" style="55" hidden="1" customWidth="1"/>
    <col min="7686" max="7686" width="84.125" style="55" hidden="1" customWidth="1"/>
    <col min="7687" max="7687" width="2.625" style="55" hidden="1" customWidth="1"/>
    <col min="7688" max="7936" width="0" style="55" hidden="1"/>
    <col min="7937" max="7938" width="2.625" style="55" hidden="1" customWidth="1"/>
    <col min="7939" max="7939" width="12" style="55" hidden="1" customWidth="1"/>
    <col min="7940" max="7940" width="11.625" style="55" hidden="1" customWidth="1"/>
    <col min="7941" max="7941" width="7.5" style="55" hidden="1" customWidth="1"/>
    <col min="7942" max="7942" width="84.125" style="55" hidden="1" customWidth="1"/>
    <col min="7943" max="7943" width="2.625" style="55" hidden="1" customWidth="1"/>
    <col min="7944" max="8192" width="0" style="55" hidden="1"/>
    <col min="8193" max="8194" width="2.625" style="55" hidden="1" customWidth="1"/>
    <col min="8195" max="8195" width="12" style="55" hidden="1" customWidth="1"/>
    <col min="8196" max="8196" width="11.625" style="55" hidden="1" customWidth="1"/>
    <col min="8197" max="8197" width="7.5" style="55" hidden="1" customWidth="1"/>
    <col min="8198" max="8198" width="84.125" style="55" hidden="1" customWidth="1"/>
    <col min="8199" max="8199" width="2.625" style="55" hidden="1" customWidth="1"/>
    <col min="8200" max="8448" width="0" style="55" hidden="1"/>
    <col min="8449" max="8450" width="2.625" style="55" hidden="1" customWidth="1"/>
    <col min="8451" max="8451" width="12" style="55" hidden="1" customWidth="1"/>
    <col min="8452" max="8452" width="11.625" style="55" hidden="1" customWidth="1"/>
    <col min="8453" max="8453" width="7.5" style="55" hidden="1" customWidth="1"/>
    <col min="8454" max="8454" width="84.125" style="55" hidden="1" customWidth="1"/>
    <col min="8455" max="8455" width="2.625" style="55" hidden="1" customWidth="1"/>
    <col min="8456" max="8704" width="0" style="55" hidden="1"/>
    <col min="8705" max="8706" width="2.625" style="55" hidden="1" customWidth="1"/>
    <col min="8707" max="8707" width="12" style="55" hidden="1" customWidth="1"/>
    <col min="8708" max="8708" width="11.625" style="55" hidden="1" customWidth="1"/>
    <col min="8709" max="8709" width="7.5" style="55" hidden="1" customWidth="1"/>
    <col min="8710" max="8710" width="84.125" style="55" hidden="1" customWidth="1"/>
    <col min="8711" max="8711" width="2.625" style="55" hidden="1" customWidth="1"/>
    <col min="8712" max="8960" width="0" style="55" hidden="1"/>
    <col min="8961" max="8962" width="2.625" style="55" hidden="1" customWidth="1"/>
    <col min="8963" max="8963" width="12" style="55" hidden="1" customWidth="1"/>
    <col min="8964" max="8964" width="11.625" style="55" hidden="1" customWidth="1"/>
    <col min="8965" max="8965" width="7.5" style="55" hidden="1" customWidth="1"/>
    <col min="8966" max="8966" width="84.125" style="55" hidden="1" customWidth="1"/>
    <col min="8967" max="8967" width="2.625" style="55" hidden="1" customWidth="1"/>
    <col min="8968" max="9216" width="0" style="55" hidden="1"/>
    <col min="9217" max="9218" width="2.625" style="55" hidden="1" customWidth="1"/>
    <col min="9219" max="9219" width="12" style="55" hidden="1" customWidth="1"/>
    <col min="9220" max="9220" width="11.625" style="55" hidden="1" customWidth="1"/>
    <col min="9221" max="9221" width="7.5" style="55" hidden="1" customWidth="1"/>
    <col min="9222" max="9222" width="84.125" style="55" hidden="1" customWidth="1"/>
    <col min="9223" max="9223" width="2.625" style="55" hidden="1" customWidth="1"/>
    <col min="9224" max="9472" width="0" style="55" hidden="1"/>
    <col min="9473" max="9474" width="2.625" style="55" hidden="1" customWidth="1"/>
    <col min="9475" max="9475" width="12" style="55" hidden="1" customWidth="1"/>
    <col min="9476" max="9476" width="11.625" style="55" hidden="1" customWidth="1"/>
    <col min="9477" max="9477" width="7.5" style="55" hidden="1" customWidth="1"/>
    <col min="9478" max="9478" width="84.125" style="55" hidden="1" customWidth="1"/>
    <col min="9479" max="9479" width="2.625" style="55" hidden="1" customWidth="1"/>
    <col min="9480" max="9728" width="0" style="55" hidden="1"/>
    <col min="9729" max="9730" width="2.625" style="55" hidden="1" customWidth="1"/>
    <col min="9731" max="9731" width="12" style="55" hidden="1" customWidth="1"/>
    <col min="9732" max="9732" width="11.625" style="55" hidden="1" customWidth="1"/>
    <col min="9733" max="9733" width="7.5" style="55" hidden="1" customWidth="1"/>
    <col min="9734" max="9734" width="84.125" style="55" hidden="1" customWidth="1"/>
    <col min="9735" max="9735" width="2.625" style="55" hidden="1" customWidth="1"/>
    <col min="9736" max="9984" width="0" style="55" hidden="1"/>
    <col min="9985" max="9986" width="2.625" style="55" hidden="1" customWidth="1"/>
    <col min="9987" max="9987" width="12" style="55" hidden="1" customWidth="1"/>
    <col min="9988" max="9988" width="11.625" style="55" hidden="1" customWidth="1"/>
    <col min="9989" max="9989" width="7.5" style="55" hidden="1" customWidth="1"/>
    <col min="9990" max="9990" width="84.125" style="55" hidden="1" customWidth="1"/>
    <col min="9991" max="9991" width="2.625" style="55" hidden="1" customWidth="1"/>
    <col min="9992" max="10240" width="0" style="55" hidden="1"/>
    <col min="10241" max="10242" width="2.625" style="55" hidden="1" customWidth="1"/>
    <col min="10243" max="10243" width="12" style="55" hidden="1" customWidth="1"/>
    <col min="10244" max="10244" width="11.625" style="55" hidden="1" customWidth="1"/>
    <col min="10245" max="10245" width="7.5" style="55" hidden="1" customWidth="1"/>
    <col min="10246" max="10246" width="84.125" style="55" hidden="1" customWidth="1"/>
    <col min="10247" max="10247" width="2.625" style="55" hidden="1" customWidth="1"/>
    <col min="10248" max="10496" width="0" style="55" hidden="1"/>
    <col min="10497" max="10498" width="2.625" style="55" hidden="1" customWidth="1"/>
    <col min="10499" max="10499" width="12" style="55" hidden="1" customWidth="1"/>
    <col min="10500" max="10500" width="11.625" style="55" hidden="1" customWidth="1"/>
    <col min="10501" max="10501" width="7.5" style="55" hidden="1" customWidth="1"/>
    <col min="10502" max="10502" width="84.125" style="55" hidden="1" customWidth="1"/>
    <col min="10503" max="10503" width="2.625" style="55" hidden="1" customWidth="1"/>
    <col min="10504" max="10752" width="0" style="55" hidden="1"/>
    <col min="10753" max="10754" width="2.625" style="55" hidden="1" customWidth="1"/>
    <col min="10755" max="10755" width="12" style="55" hidden="1" customWidth="1"/>
    <col min="10756" max="10756" width="11.625" style="55" hidden="1" customWidth="1"/>
    <col min="10757" max="10757" width="7.5" style="55" hidden="1" customWidth="1"/>
    <col min="10758" max="10758" width="84.125" style="55" hidden="1" customWidth="1"/>
    <col min="10759" max="10759" width="2.625" style="55" hidden="1" customWidth="1"/>
    <col min="10760" max="11008" width="0" style="55" hidden="1"/>
    <col min="11009" max="11010" width="2.625" style="55" hidden="1" customWidth="1"/>
    <col min="11011" max="11011" width="12" style="55" hidden="1" customWidth="1"/>
    <col min="11012" max="11012" width="11.625" style="55" hidden="1" customWidth="1"/>
    <col min="11013" max="11013" width="7.5" style="55" hidden="1" customWidth="1"/>
    <col min="11014" max="11014" width="84.125" style="55" hidden="1" customWidth="1"/>
    <col min="11015" max="11015" width="2.625" style="55" hidden="1" customWidth="1"/>
    <col min="11016" max="11264" width="0" style="55" hidden="1"/>
    <col min="11265" max="11266" width="2.625" style="55" hidden="1" customWidth="1"/>
    <col min="11267" max="11267" width="12" style="55" hidden="1" customWidth="1"/>
    <col min="11268" max="11268" width="11.625" style="55" hidden="1" customWidth="1"/>
    <col min="11269" max="11269" width="7.5" style="55" hidden="1" customWidth="1"/>
    <col min="11270" max="11270" width="84.125" style="55" hidden="1" customWidth="1"/>
    <col min="11271" max="11271" width="2.625" style="55" hidden="1" customWidth="1"/>
    <col min="11272" max="11520" width="0" style="55" hidden="1"/>
    <col min="11521" max="11522" width="2.625" style="55" hidden="1" customWidth="1"/>
    <col min="11523" max="11523" width="12" style="55" hidden="1" customWidth="1"/>
    <col min="11524" max="11524" width="11.625" style="55" hidden="1" customWidth="1"/>
    <col min="11525" max="11525" width="7.5" style="55" hidden="1" customWidth="1"/>
    <col min="11526" max="11526" width="84.125" style="55" hidden="1" customWidth="1"/>
    <col min="11527" max="11527" width="2.625" style="55" hidden="1" customWidth="1"/>
    <col min="11528" max="11776" width="0" style="55" hidden="1"/>
    <col min="11777" max="11778" width="2.625" style="55" hidden="1" customWidth="1"/>
    <col min="11779" max="11779" width="12" style="55" hidden="1" customWidth="1"/>
    <col min="11780" max="11780" width="11.625" style="55" hidden="1" customWidth="1"/>
    <col min="11781" max="11781" width="7.5" style="55" hidden="1" customWidth="1"/>
    <col min="11782" max="11782" width="84.125" style="55" hidden="1" customWidth="1"/>
    <col min="11783" max="11783" width="2.625" style="55" hidden="1" customWidth="1"/>
    <col min="11784" max="12032" width="0" style="55" hidden="1"/>
    <col min="12033" max="12034" width="2.625" style="55" hidden="1" customWidth="1"/>
    <col min="12035" max="12035" width="12" style="55" hidden="1" customWidth="1"/>
    <col min="12036" max="12036" width="11.625" style="55" hidden="1" customWidth="1"/>
    <col min="12037" max="12037" width="7.5" style="55" hidden="1" customWidth="1"/>
    <col min="12038" max="12038" width="84.125" style="55" hidden="1" customWidth="1"/>
    <col min="12039" max="12039" width="2.625" style="55" hidden="1" customWidth="1"/>
    <col min="12040" max="12288" width="0" style="55" hidden="1"/>
    <col min="12289" max="12290" width="2.625" style="55" hidden="1" customWidth="1"/>
    <col min="12291" max="12291" width="12" style="55" hidden="1" customWidth="1"/>
    <col min="12292" max="12292" width="11.625" style="55" hidden="1" customWidth="1"/>
    <col min="12293" max="12293" width="7.5" style="55" hidden="1" customWidth="1"/>
    <col min="12294" max="12294" width="84.125" style="55" hidden="1" customWidth="1"/>
    <col min="12295" max="12295" width="2.625" style="55" hidden="1" customWidth="1"/>
    <col min="12296" max="12544" width="0" style="55" hidden="1"/>
    <col min="12545" max="12546" width="2.625" style="55" hidden="1" customWidth="1"/>
    <col min="12547" max="12547" width="12" style="55" hidden="1" customWidth="1"/>
    <col min="12548" max="12548" width="11.625" style="55" hidden="1" customWidth="1"/>
    <col min="12549" max="12549" width="7.5" style="55" hidden="1" customWidth="1"/>
    <col min="12550" max="12550" width="84.125" style="55" hidden="1" customWidth="1"/>
    <col min="12551" max="12551" width="2.625" style="55" hidden="1" customWidth="1"/>
    <col min="12552" max="12800" width="0" style="55" hidden="1"/>
    <col min="12801" max="12802" width="2.625" style="55" hidden="1" customWidth="1"/>
    <col min="12803" max="12803" width="12" style="55" hidden="1" customWidth="1"/>
    <col min="12804" max="12804" width="11.625" style="55" hidden="1" customWidth="1"/>
    <col min="12805" max="12805" width="7.5" style="55" hidden="1" customWidth="1"/>
    <col min="12806" max="12806" width="84.125" style="55" hidden="1" customWidth="1"/>
    <col min="12807" max="12807" width="2.625" style="55" hidden="1" customWidth="1"/>
    <col min="12808" max="13056" width="0" style="55" hidden="1"/>
    <col min="13057" max="13058" width="2.625" style="55" hidden="1" customWidth="1"/>
    <col min="13059" max="13059" width="12" style="55" hidden="1" customWidth="1"/>
    <col min="13060" max="13060" width="11.625" style="55" hidden="1" customWidth="1"/>
    <col min="13061" max="13061" width="7.5" style="55" hidden="1" customWidth="1"/>
    <col min="13062" max="13062" width="84.125" style="55" hidden="1" customWidth="1"/>
    <col min="13063" max="13063" width="2.625" style="55" hidden="1" customWidth="1"/>
    <col min="13064" max="13312" width="0" style="55" hidden="1"/>
    <col min="13313" max="13314" width="2.625" style="55" hidden="1" customWidth="1"/>
    <col min="13315" max="13315" width="12" style="55" hidden="1" customWidth="1"/>
    <col min="13316" max="13316" width="11.625" style="55" hidden="1" customWidth="1"/>
    <col min="13317" max="13317" width="7.5" style="55" hidden="1" customWidth="1"/>
    <col min="13318" max="13318" width="84.125" style="55" hidden="1" customWidth="1"/>
    <col min="13319" max="13319" width="2.625" style="55" hidden="1" customWidth="1"/>
    <col min="13320" max="13568" width="0" style="55" hidden="1"/>
    <col min="13569" max="13570" width="2.625" style="55" hidden="1" customWidth="1"/>
    <col min="13571" max="13571" width="12" style="55" hidden="1" customWidth="1"/>
    <col min="13572" max="13572" width="11.625" style="55" hidden="1" customWidth="1"/>
    <col min="13573" max="13573" width="7.5" style="55" hidden="1" customWidth="1"/>
    <col min="13574" max="13574" width="84.125" style="55" hidden="1" customWidth="1"/>
    <col min="13575" max="13575" width="2.625" style="55" hidden="1" customWidth="1"/>
    <col min="13576" max="13824" width="0" style="55" hidden="1"/>
    <col min="13825" max="13826" width="2.625" style="55" hidden="1" customWidth="1"/>
    <col min="13827" max="13827" width="12" style="55" hidden="1" customWidth="1"/>
    <col min="13828" max="13828" width="11.625" style="55" hidden="1" customWidth="1"/>
    <col min="13829" max="13829" width="7.5" style="55" hidden="1" customWidth="1"/>
    <col min="13830" max="13830" width="84.125" style="55" hidden="1" customWidth="1"/>
    <col min="13831" max="13831" width="2.625" style="55" hidden="1" customWidth="1"/>
    <col min="13832" max="14080" width="0" style="55" hidden="1"/>
    <col min="14081" max="14082" width="2.625" style="55" hidden="1" customWidth="1"/>
    <col min="14083" max="14083" width="12" style="55" hidden="1" customWidth="1"/>
    <col min="14084" max="14084" width="11.625" style="55" hidden="1" customWidth="1"/>
    <col min="14085" max="14085" width="7.5" style="55" hidden="1" customWidth="1"/>
    <col min="14086" max="14086" width="84.125" style="55" hidden="1" customWidth="1"/>
    <col min="14087" max="14087" width="2.625" style="55" hidden="1" customWidth="1"/>
    <col min="14088" max="14336" width="0" style="55" hidden="1"/>
    <col min="14337" max="14338" width="2.625" style="55" hidden="1" customWidth="1"/>
    <col min="14339" max="14339" width="12" style="55" hidden="1" customWidth="1"/>
    <col min="14340" max="14340" width="11.625" style="55" hidden="1" customWidth="1"/>
    <col min="14341" max="14341" width="7.5" style="55" hidden="1" customWidth="1"/>
    <col min="14342" max="14342" width="84.125" style="55" hidden="1" customWidth="1"/>
    <col min="14343" max="14343" width="2.625" style="55" hidden="1" customWidth="1"/>
    <col min="14344" max="14592" width="0" style="55" hidden="1"/>
    <col min="14593" max="14594" width="2.625" style="55" hidden="1" customWidth="1"/>
    <col min="14595" max="14595" width="12" style="55" hidden="1" customWidth="1"/>
    <col min="14596" max="14596" width="11.625" style="55" hidden="1" customWidth="1"/>
    <col min="14597" max="14597" width="7.5" style="55" hidden="1" customWidth="1"/>
    <col min="14598" max="14598" width="84.125" style="55" hidden="1" customWidth="1"/>
    <col min="14599" max="14599" width="2.625" style="55" hidden="1" customWidth="1"/>
    <col min="14600" max="14848" width="0" style="55" hidden="1"/>
    <col min="14849" max="14850" width="2.625" style="55" hidden="1" customWidth="1"/>
    <col min="14851" max="14851" width="12" style="55" hidden="1" customWidth="1"/>
    <col min="14852" max="14852" width="11.625" style="55" hidden="1" customWidth="1"/>
    <col min="14853" max="14853" width="7.5" style="55" hidden="1" customWidth="1"/>
    <col min="14854" max="14854" width="84.125" style="55" hidden="1" customWidth="1"/>
    <col min="14855" max="14855" width="2.625" style="55" hidden="1" customWidth="1"/>
    <col min="14856" max="15104" width="0" style="55" hidden="1"/>
    <col min="15105" max="15106" width="2.625" style="55" hidden="1" customWidth="1"/>
    <col min="15107" max="15107" width="12" style="55" hidden="1" customWidth="1"/>
    <col min="15108" max="15108" width="11.625" style="55" hidden="1" customWidth="1"/>
    <col min="15109" max="15109" width="7.5" style="55" hidden="1" customWidth="1"/>
    <col min="15110" max="15110" width="84.125" style="55" hidden="1" customWidth="1"/>
    <col min="15111" max="15111" width="2.625" style="55" hidden="1" customWidth="1"/>
    <col min="15112" max="15360" width="0" style="55" hidden="1"/>
    <col min="15361" max="15362" width="2.625" style="55" hidden="1" customWidth="1"/>
    <col min="15363" max="15363" width="12" style="55" hidden="1" customWidth="1"/>
    <col min="15364" max="15364" width="11.625" style="55" hidden="1" customWidth="1"/>
    <col min="15365" max="15365" width="7.5" style="55" hidden="1" customWidth="1"/>
    <col min="15366" max="15366" width="84.125" style="55" hidden="1" customWidth="1"/>
    <col min="15367" max="15367" width="2.625" style="55" hidden="1" customWidth="1"/>
    <col min="15368" max="15616" width="0" style="55" hidden="1"/>
    <col min="15617" max="15618" width="2.625" style="55" hidden="1" customWidth="1"/>
    <col min="15619" max="15619" width="12" style="55" hidden="1" customWidth="1"/>
    <col min="15620" max="15620" width="11.625" style="55" hidden="1" customWidth="1"/>
    <col min="15621" max="15621" width="7.5" style="55" hidden="1" customWidth="1"/>
    <col min="15622" max="15622" width="84.125" style="55" hidden="1" customWidth="1"/>
    <col min="15623" max="15623" width="2.625" style="55" hidden="1" customWidth="1"/>
    <col min="15624" max="15872" width="0" style="55" hidden="1"/>
    <col min="15873" max="15874" width="2.625" style="55" hidden="1" customWidth="1"/>
    <col min="15875" max="15875" width="12" style="55" hidden="1" customWidth="1"/>
    <col min="15876" max="15876" width="11.625" style="55" hidden="1" customWidth="1"/>
    <col min="15877" max="15877" width="7.5" style="55" hidden="1" customWidth="1"/>
    <col min="15878" max="15878" width="84.125" style="55" hidden="1" customWidth="1"/>
    <col min="15879" max="15879" width="2.625" style="55" hidden="1" customWidth="1"/>
    <col min="15880" max="16128" width="0" style="55" hidden="1"/>
    <col min="16129" max="16130" width="2.625" style="55" hidden="1" customWidth="1"/>
    <col min="16131" max="16131" width="12" style="55" hidden="1" customWidth="1"/>
    <col min="16132" max="16132" width="11.625" style="55" hidden="1" customWidth="1"/>
    <col min="16133" max="16133" width="7.5" style="55" hidden="1" customWidth="1"/>
    <col min="16134" max="16134" width="84.125" style="55" hidden="1" customWidth="1"/>
    <col min="16135" max="16135" width="2.625" style="55" hidden="1" customWidth="1"/>
    <col min="16136" max="16384" width="0" style="55" hidden="1"/>
  </cols>
  <sheetData>
    <row r="1" spans="2:6"/>
    <row r="2" spans="2:6" ht="17.25">
      <c r="B2" s="57" t="s">
        <v>154</v>
      </c>
    </row>
    <row r="3" spans="2:6"/>
    <row r="4" spans="2:6">
      <c r="C4" s="58" t="s">
        <v>155</v>
      </c>
      <c r="D4" s="58" t="s">
        <v>156</v>
      </c>
      <c r="E4" s="58" t="s">
        <v>157</v>
      </c>
      <c r="F4" s="58" t="s">
        <v>158</v>
      </c>
    </row>
    <row r="5" spans="2:6">
      <c r="C5" s="59">
        <v>42111</v>
      </c>
      <c r="D5" s="60" t="s">
        <v>159</v>
      </c>
      <c r="E5" s="60" t="s">
        <v>160</v>
      </c>
      <c r="F5" s="61" t="s">
        <v>161</v>
      </c>
    </row>
    <row r="6" spans="2:6">
      <c r="C6" s="59"/>
      <c r="D6" s="60"/>
      <c r="E6" s="60"/>
      <c r="F6" s="62"/>
    </row>
    <row r="7" spans="2:6">
      <c r="C7" s="59"/>
      <c r="D7" s="60"/>
      <c r="E7" s="60"/>
      <c r="F7" s="61"/>
    </row>
    <row r="8" spans="2:6">
      <c r="C8" s="59"/>
      <c r="D8" s="60"/>
      <c r="E8" s="60"/>
      <c r="F8" s="62"/>
    </row>
    <row r="9" spans="2:6">
      <c r="C9" s="59"/>
      <c r="D9" s="60"/>
      <c r="E9" s="60"/>
      <c r="F9" s="62"/>
    </row>
    <row r="10" spans="2:6">
      <c r="C10" s="59"/>
      <c r="D10" s="60"/>
      <c r="E10" s="60"/>
      <c r="F10" s="62"/>
    </row>
    <row r="11" spans="2:6">
      <c r="C11" s="59"/>
      <c r="D11" s="60"/>
      <c r="E11" s="60"/>
      <c r="F11" s="62"/>
    </row>
    <row r="12" spans="2:6">
      <c r="C12" s="59"/>
      <c r="D12" s="60"/>
      <c r="E12" s="60"/>
      <c r="F12" s="62"/>
    </row>
    <row r="13" spans="2:6">
      <c r="C13" s="60"/>
      <c r="D13" s="60"/>
      <c r="E13" s="60"/>
      <c r="F13" s="61"/>
    </row>
    <row r="14" spans="2:6"/>
  </sheetData>
  <phoneticPr fontId="2"/>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0000"/>
  </sheetPr>
  <dimension ref="B2:F10"/>
  <sheetViews>
    <sheetView workbookViewId="0">
      <selection activeCell="B9" sqref="B9"/>
    </sheetView>
  </sheetViews>
  <sheetFormatPr defaultRowHeight="13.5"/>
  <sheetData>
    <row r="2" spans="2:6">
      <c r="B2">
        <v>0</v>
      </c>
      <c r="C2" t="s">
        <v>83</v>
      </c>
      <c r="D2" t="s">
        <v>9</v>
      </c>
      <c r="E2" t="s">
        <v>106</v>
      </c>
      <c r="F2" t="s">
        <v>147</v>
      </c>
    </row>
    <row r="3" spans="2:6">
      <c r="B3">
        <v>1</v>
      </c>
      <c r="C3" t="s">
        <v>83</v>
      </c>
      <c r="D3" t="s">
        <v>9</v>
      </c>
      <c r="E3" t="s">
        <v>139</v>
      </c>
      <c r="F3" t="s">
        <v>148</v>
      </c>
    </row>
    <row r="4" spans="2:6">
      <c r="B4">
        <v>2</v>
      </c>
      <c r="C4" t="s">
        <v>107</v>
      </c>
      <c r="D4" t="s">
        <v>144</v>
      </c>
      <c r="E4" t="s">
        <v>108</v>
      </c>
      <c r="F4" t="s">
        <v>149</v>
      </c>
    </row>
    <row r="5" spans="2:6">
      <c r="B5">
        <v>3</v>
      </c>
      <c r="C5" t="s">
        <v>109</v>
      </c>
      <c r="D5" t="s">
        <v>145</v>
      </c>
      <c r="E5" t="s">
        <v>111</v>
      </c>
      <c r="F5" t="s">
        <v>150</v>
      </c>
    </row>
    <row r="6" spans="2:6">
      <c r="B6">
        <v>4</v>
      </c>
      <c r="C6" t="s">
        <v>109</v>
      </c>
      <c r="D6" t="s">
        <v>146</v>
      </c>
      <c r="E6" t="s">
        <v>110</v>
      </c>
      <c r="F6" t="s">
        <v>150</v>
      </c>
    </row>
    <row r="7" spans="2:6">
      <c r="B7">
        <v>5</v>
      </c>
      <c r="C7" t="s">
        <v>113</v>
      </c>
      <c r="D7" t="s">
        <v>143</v>
      </c>
      <c r="E7" t="s">
        <v>117</v>
      </c>
      <c r="F7" t="s">
        <v>112</v>
      </c>
    </row>
    <row r="8" spans="2:6">
      <c r="B8">
        <v>6</v>
      </c>
      <c r="C8" t="s">
        <v>113</v>
      </c>
      <c r="D8" t="s">
        <v>143</v>
      </c>
      <c r="E8" t="s">
        <v>132</v>
      </c>
      <c r="F8" t="s">
        <v>131</v>
      </c>
    </row>
    <row r="9" spans="2:6">
      <c r="B9">
        <v>7</v>
      </c>
      <c r="C9" t="s">
        <v>113</v>
      </c>
      <c r="D9" t="s">
        <v>143</v>
      </c>
      <c r="E9" t="s">
        <v>140</v>
      </c>
      <c r="F9" t="s">
        <v>141</v>
      </c>
    </row>
    <row r="10" spans="2:6">
      <c r="B10">
        <v>8</v>
      </c>
      <c r="C10" t="s">
        <v>83</v>
      </c>
      <c r="D10" t="s">
        <v>9</v>
      </c>
      <c r="E10" t="s">
        <v>413</v>
      </c>
      <c r="F10" t="s">
        <v>414</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499984740745262"/>
  </sheetPr>
  <dimension ref="B1:R31"/>
  <sheetViews>
    <sheetView topLeftCell="A16" zoomScaleNormal="100" workbookViewId="0">
      <selection activeCell="Q26" sqref="Q26"/>
    </sheetView>
  </sheetViews>
  <sheetFormatPr defaultColWidth="3" defaultRowHeight="13.5"/>
  <cols>
    <col min="1" max="1" width="3" style="18"/>
    <col min="2" max="3" width="6.5" style="18" bestFit="1" customWidth="1"/>
    <col min="4" max="15" width="3" style="18"/>
    <col min="16" max="16" width="27.25" style="18" bestFit="1" customWidth="1"/>
    <col min="17" max="17" width="45.25" style="19" customWidth="1"/>
    <col min="18" max="18" width="33.875" style="18" bestFit="1" customWidth="1"/>
    <col min="19" max="16384" width="3" style="18"/>
  </cols>
  <sheetData>
    <row r="1" spans="2:18">
      <c r="B1" s="18" t="s">
        <v>90</v>
      </c>
      <c r="C1" s="18" t="s">
        <v>91</v>
      </c>
    </row>
    <row r="2" spans="2:18">
      <c r="B2" s="34">
        <f>SUM(B3:B18)/7.5</f>
        <v>3.5333333333333332</v>
      </c>
      <c r="C2" s="34">
        <f>SUM(C3:C18)/7.5</f>
        <v>0.8666666666666667</v>
      </c>
      <c r="D2" s="27" t="s">
        <v>60</v>
      </c>
      <c r="E2" s="27"/>
      <c r="F2" s="27"/>
      <c r="G2" s="27"/>
      <c r="H2" s="27"/>
      <c r="I2" s="27"/>
      <c r="J2" s="27"/>
      <c r="K2" s="27"/>
      <c r="L2" s="27"/>
      <c r="M2" s="27"/>
      <c r="N2" s="27"/>
      <c r="O2" s="27"/>
      <c r="P2" s="27"/>
      <c r="Q2" s="21" t="s">
        <v>75</v>
      </c>
      <c r="R2" s="21" t="s">
        <v>59</v>
      </c>
    </row>
    <row r="3" spans="2:18">
      <c r="B3" s="18">
        <v>2</v>
      </c>
      <c r="C3" s="18">
        <v>1</v>
      </c>
      <c r="D3" s="18" t="s">
        <v>84</v>
      </c>
      <c r="Q3" s="19" t="s">
        <v>44</v>
      </c>
    </row>
    <row r="4" spans="2:18">
      <c r="B4" s="18">
        <v>0.5</v>
      </c>
      <c r="C4" s="18">
        <v>0.5</v>
      </c>
      <c r="D4" s="18" t="s">
        <v>86</v>
      </c>
      <c r="Q4" s="19" t="s">
        <v>52</v>
      </c>
    </row>
    <row r="5" spans="2:18">
      <c r="B5" s="18">
        <v>5</v>
      </c>
      <c r="C5" s="18">
        <v>4</v>
      </c>
      <c r="E5" s="18" t="s">
        <v>85</v>
      </c>
      <c r="Q5" s="19" t="s">
        <v>51</v>
      </c>
    </row>
    <row r="6" spans="2:18">
      <c r="B6" s="18" t="s">
        <v>76</v>
      </c>
      <c r="C6" s="18">
        <v>0.5</v>
      </c>
      <c r="E6" s="18" t="s">
        <v>87</v>
      </c>
      <c r="Q6" s="19" t="s">
        <v>88</v>
      </c>
    </row>
    <row r="7" spans="2:18">
      <c r="B7" s="18">
        <v>2</v>
      </c>
      <c r="C7" s="18">
        <v>0.5</v>
      </c>
      <c r="D7" s="18" t="s">
        <v>56</v>
      </c>
      <c r="Q7" s="19" t="s">
        <v>43</v>
      </c>
    </row>
    <row r="8" spans="2:18" ht="189">
      <c r="B8" s="18">
        <v>0.5</v>
      </c>
      <c r="D8" s="18" t="s">
        <v>80</v>
      </c>
      <c r="Q8" s="26" t="s">
        <v>70</v>
      </c>
    </row>
    <row r="9" spans="2:18">
      <c r="B9" s="18">
        <v>3</v>
      </c>
      <c r="E9" s="18" t="s">
        <v>96</v>
      </c>
      <c r="Q9" s="19" t="s">
        <v>81</v>
      </c>
    </row>
    <row r="10" spans="2:18">
      <c r="B10" s="18">
        <v>0.5</v>
      </c>
      <c r="E10" s="18" t="s">
        <v>97</v>
      </c>
      <c r="Q10" s="19" t="s">
        <v>82</v>
      </c>
    </row>
    <row r="11" spans="2:18" ht="54">
      <c r="B11" s="18">
        <v>0.5</v>
      </c>
      <c r="D11" s="18" t="s">
        <v>100</v>
      </c>
      <c r="Q11" s="26" t="s">
        <v>99</v>
      </c>
    </row>
    <row r="12" spans="2:18">
      <c r="B12" s="18">
        <v>3</v>
      </c>
      <c r="E12" s="18" t="s">
        <v>96</v>
      </c>
      <c r="Q12" s="19" t="s">
        <v>81</v>
      </c>
    </row>
    <row r="13" spans="2:18">
      <c r="B13" s="18">
        <v>0.5</v>
      </c>
      <c r="E13" s="18" t="s">
        <v>97</v>
      </c>
      <c r="Q13" s="19" t="s">
        <v>82</v>
      </c>
    </row>
    <row r="14" spans="2:18" ht="175.5">
      <c r="B14" s="18">
        <v>0.5</v>
      </c>
      <c r="D14" s="18" t="s">
        <v>114</v>
      </c>
      <c r="Q14" s="26" t="s">
        <v>98</v>
      </c>
    </row>
    <row r="15" spans="2:18">
      <c r="B15" s="18">
        <v>3</v>
      </c>
      <c r="E15" s="18" t="s">
        <v>96</v>
      </c>
      <c r="Q15" s="19" t="s">
        <v>81</v>
      </c>
    </row>
    <row r="16" spans="2:18">
      <c r="B16" s="18">
        <v>0.5</v>
      </c>
      <c r="E16" s="18" t="s">
        <v>97</v>
      </c>
      <c r="Q16" s="19" t="s">
        <v>82</v>
      </c>
    </row>
    <row r="17" spans="2:17">
      <c r="B17" s="18">
        <v>1</v>
      </c>
      <c r="D17" s="18" t="s">
        <v>77</v>
      </c>
      <c r="Q17" s="19" t="s">
        <v>57</v>
      </c>
    </row>
    <row r="18" spans="2:17">
      <c r="B18" s="18">
        <v>4</v>
      </c>
      <c r="D18" s="18" t="s">
        <v>78</v>
      </c>
      <c r="Q18" s="19" t="s">
        <v>58</v>
      </c>
    </row>
    <row r="23" spans="2:17">
      <c r="D23" s="18" t="s">
        <v>390</v>
      </c>
      <c r="P23" s="18" t="s">
        <v>401</v>
      </c>
      <c r="Q23" s="19" t="s">
        <v>407</v>
      </c>
    </row>
    <row r="24" spans="2:17" ht="27">
      <c r="E24" s="18" t="s">
        <v>395</v>
      </c>
      <c r="P24" s="18" t="s">
        <v>401</v>
      </c>
      <c r="Q24" s="19" t="s">
        <v>409</v>
      </c>
    </row>
    <row r="25" spans="2:17">
      <c r="F25" s="18" t="s">
        <v>402</v>
      </c>
      <c r="P25" s="18" t="s">
        <v>408</v>
      </c>
      <c r="Q25" s="19" t="s">
        <v>403</v>
      </c>
    </row>
    <row r="26" spans="2:17" ht="40.5">
      <c r="E26" s="18" t="s">
        <v>396</v>
      </c>
      <c r="Q26" s="19" t="s">
        <v>404</v>
      </c>
    </row>
    <row r="27" spans="2:17">
      <c r="D27" s="18" t="s">
        <v>391</v>
      </c>
      <c r="P27" s="18" t="s">
        <v>400</v>
      </c>
      <c r="Q27" s="19" t="s">
        <v>392</v>
      </c>
    </row>
    <row r="28" spans="2:17" ht="54">
      <c r="Q28" s="19" t="s">
        <v>406</v>
      </c>
    </row>
    <row r="29" spans="2:17" ht="40.5">
      <c r="E29" s="18" t="s">
        <v>396</v>
      </c>
      <c r="Q29" s="19" t="s">
        <v>405</v>
      </c>
    </row>
    <row r="31" spans="2:17">
      <c r="E31" s="18" t="s">
        <v>394</v>
      </c>
      <c r="Q31" s="19" t="s">
        <v>393</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499984740745262"/>
  </sheetPr>
  <dimension ref="B2:AI26"/>
  <sheetViews>
    <sheetView showGridLines="0" workbookViewId="0">
      <selection activeCell="A19" sqref="A19"/>
    </sheetView>
  </sheetViews>
  <sheetFormatPr defaultColWidth="4.25" defaultRowHeight="13.5"/>
  <cols>
    <col min="2" max="2" width="4.25" style="2"/>
  </cols>
  <sheetData>
    <row r="2" spans="2:35">
      <c r="B2" s="20" t="s">
        <v>72</v>
      </c>
    </row>
    <row r="3" spans="2:35">
      <c r="C3" t="s">
        <v>73</v>
      </c>
      <c r="H3" t="s">
        <v>27</v>
      </c>
    </row>
    <row r="4" spans="2:35">
      <c r="C4" t="s">
        <v>74</v>
      </c>
    </row>
    <row r="5" spans="2:35">
      <c r="C5" t="s">
        <v>1</v>
      </c>
    </row>
    <row r="7" spans="2:35">
      <c r="B7" s="20" t="s">
        <v>68</v>
      </c>
      <c r="I7" t="s">
        <v>69</v>
      </c>
    </row>
    <row r="8" spans="2:35">
      <c r="C8" t="s">
        <v>45</v>
      </c>
    </row>
    <row r="9" spans="2:35">
      <c r="C9" t="s">
        <v>46</v>
      </c>
    </row>
    <row r="10" spans="2:35">
      <c r="D10" t="s">
        <v>47</v>
      </c>
    </row>
    <row r="11" spans="2:35">
      <c r="D11" s="1" t="s">
        <v>61</v>
      </c>
    </row>
    <row r="12" spans="2:35">
      <c r="D12" s="31" t="s">
        <v>62</v>
      </c>
    </row>
    <row r="13" spans="2:35">
      <c r="D13" t="s">
        <v>48</v>
      </c>
    </row>
    <row r="14" spans="2:35">
      <c r="E14" t="s">
        <v>49</v>
      </c>
    </row>
    <row r="15" spans="2:35">
      <c r="E15" t="s">
        <v>50</v>
      </c>
    </row>
    <row r="16" spans="2:35">
      <c r="C16" s="90" t="s">
        <v>272</v>
      </c>
      <c r="L16" s="1" t="s">
        <v>151</v>
      </c>
      <c r="M16" s="1"/>
      <c r="N16" s="1"/>
      <c r="O16" s="1"/>
      <c r="P16" s="1"/>
      <c r="Q16" s="1"/>
      <c r="R16" s="1"/>
      <c r="S16" s="1"/>
      <c r="T16" s="1"/>
      <c r="U16" s="1"/>
      <c r="V16" s="1"/>
      <c r="W16" s="1"/>
      <c r="X16" s="1"/>
      <c r="Y16" s="1"/>
      <c r="Z16" s="1"/>
      <c r="AA16" s="1"/>
      <c r="AB16" s="1"/>
      <c r="AC16" s="1"/>
      <c r="AD16" s="1"/>
      <c r="AE16" s="1"/>
      <c r="AF16" s="1"/>
      <c r="AG16" s="1"/>
      <c r="AH16" s="1"/>
      <c r="AI16" s="1" t="s">
        <v>71</v>
      </c>
    </row>
    <row r="17" spans="2:35">
      <c r="C17" s="33"/>
      <c r="L17" s="1" t="s">
        <v>152</v>
      </c>
      <c r="M17" s="1"/>
      <c r="N17" s="1"/>
      <c r="O17" s="1"/>
      <c r="P17" s="1"/>
      <c r="Q17" s="1"/>
      <c r="R17" s="1"/>
      <c r="S17" s="1"/>
      <c r="T17" s="1"/>
      <c r="U17" s="1"/>
      <c r="V17" s="1"/>
      <c r="W17" s="1"/>
      <c r="X17" s="1"/>
      <c r="Y17" s="1"/>
      <c r="Z17" s="1"/>
      <c r="AA17" s="1"/>
      <c r="AB17" s="1"/>
      <c r="AC17" s="1"/>
      <c r="AD17" s="1"/>
      <c r="AE17" s="1"/>
      <c r="AF17" s="1"/>
      <c r="AG17" s="1"/>
      <c r="AH17" s="1"/>
      <c r="AI17" s="1" t="s">
        <v>63</v>
      </c>
    </row>
    <row r="18" spans="2:35">
      <c r="C18" s="32"/>
      <c r="L18" s="1" t="s">
        <v>64</v>
      </c>
      <c r="M18" s="1"/>
      <c r="N18" s="1"/>
      <c r="O18" s="1"/>
      <c r="P18" s="1"/>
      <c r="Q18" s="1"/>
      <c r="R18" s="1"/>
      <c r="S18" s="1"/>
      <c r="T18" s="1"/>
      <c r="U18" s="1"/>
      <c r="V18" s="1"/>
      <c r="W18" s="1"/>
      <c r="X18" s="1"/>
      <c r="Y18" s="1"/>
      <c r="Z18" s="1"/>
      <c r="AA18" s="1"/>
      <c r="AB18" s="1"/>
      <c r="AC18" s="1"/>
      <c r="AD18" s="1"/>
      <c r="AE18" s="1"/>
      <c r="AF18" s="1"/>
      <c r="AG18" s="1"/>
      <c r="AH18" s="1"/>
      <c r="AI18" s="1" t="s">
        <v>63</v>
      </c>
    </row>
    <row r="19" spans="2:35">
      <c r="L19" s="89" t="s">
        <v>153</v>
      </c>
      <c r="M19" s="89"/>
      <c r="N19" s="89"/>
      <c r="O19" s="89"/>
      <c r="P19" s="89"/>
      <c r="Q19" s="89"/>
      <c r="R19" s="89"/>
      <c r="S19" s="89"/>
      <c r="T19" s="89"/>
      <c r="U19" s="89"/>
      <c r="V19" s="89"/>
      <c r="W19" s="89"/>
      <c r="X19" s="89"/>
      <c r="Y19" s="89"/>
      <c r="Z19" s="89"/>
      <c r="AA19" s="89"/>
      <c r="AB19" s="89"/>
      <c r="AC19" s="89"/>
      <c r="AD19" s="89"/>
      <c r="AE19" s="89"/>
      <c r="AF19" s="89"/>
      <c r="AG19" s="89"/>
      <c r="AH19" s="89"/>
      <c r="AI19" s="89" t="s">
        <v>71</v>
      </c>
    </row>
    <row r="20" spans="2:35">
      <c r="L20" s="89"/>
      <c r="M20" s="89"/>
      <c r="N20" s="89"/>
      <c r="O20" s="89"/>
      <c r="P20" s="89"/>
      <c r="Q20" s="89"/>
      <c r="R20" s="89"/>
      <c r="S20" s="89"/>
      <c r="T20" s="89"/>
      <c r="U20" s="89"/>
      <c r="V20" s="89"/>
      <c r="W20" s="89"/>
      <c r="X20" s="89"/>
      <c r="Y20" s="89"/>
      <c r="Z20" s="89"/>
      <c r="AA20" s="89"/>
      <c r="AB20" s="89"/>
      <c r="AC20" s="89"/>
      <c r="AD20" s="89"/>
      <c r="AE20" s="89"/>
      <c r="AF20" s="89"/>
      <c r="AG20" s="89"/>
      <c r="AH20" s="89"/>
      <c r="AI20" s="89"/>
    </row>
    <row r="23" spans="2:35">
      <c r="B23" s="2" t="s">
        <v>53</v>
      </c>
    </row>
    <row r="24" spans="2:35">
      <c r="C24" t="s">
        <v>54</v>
      </c>
    </row>
    <row r="25" spans="2:35">
      <c r="D25" t="s">
        <v>89</v>
      </c>
    </row>
    <row r="26" spans="2:35">
      <c r="D26" t="s">
        <v>55</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B2:AV120"/>
  <sheetViews>
    <sheetView topLeftCell="A12" workbookViewId="0">
      <selection activeCell="D45" sqref="D45"/>
    </sheetView>
  </sheetViews>
  <sheetFormatPr defaultColWidth="3.5" defaultRowHeight="13.5"/>
  <cols>
    <col min="2" max="2" width="5.5" customWidth="1"/>
  </cols>
  <sheetData>
    <row r="2" spans="2:19">
      <c r="B2" t="s">
        <v>308</v>
      </c>
    </row>
    <row r="4" spans="2:19">
      <c r="B4">
        <f>SUM(B5:B1048576)</f>
        <v>27.5</v>
      </c>
      <c r="C4" s="4" t="s">
        <v>134</v>
      </c>
    </row>
    <row r="5" spans="2:19">
      <c r="B5">
        <v>0</v>
      </c>
      <c r="C5" s="4"/>
      <c r="D5" s="1" t="s">
        <v>135</v>
      </c>
      <c r="E5" s="31" t="s">
        <v>136</v>
      </c>
      <c r="F5" s="31"/>
      <c r="G5" s="1"/>
      <c r="H5" s="1"/>
      <c r="S5" t="s">
        <v>301</v>
      </c>
    </row>
    <row r="6" spans="2:19">
      <c r="C6" s="4"/>
      <c r="D6" s="1"/>
      <c r="E6" s="31"/>
      <c r="F6" s="31"/>
      <c r="G6" s="1"/>
      <c r="H6" s="1"/>
    </row>
    <row r="7" spans="2:19">
      <c r="C7" s="4"/>
      <c r="D7" s="1"/>
      <c r="E7" s="31"/>
      <c r="F7" s="1" t="s">
        <v>28</v>
      </c>
      <c r="G7" s="1"/>
      <c r="H7" s="1"/>
    </row>
    <row r="8" spans="2:19">
      <c r="C8" s="4"/>
      <c r="D8" s="1"/>
      <c r="E8" s="31"/>
      <c r="F8" s="1" t="s">
        <v>32</v>
      </c>
      <c r="G8" s="1"/>
      <c r="H8" s="1"/>
    </row>
    <row r="9" spans="2:19">
      <c r="C9" s="4"/>
      <c r="D9" s="1"/>
      <c r="E9" s="31"/>
      <c r="F9" s="1"/>
      <c r="G9" s="1" t="s">
        <v>29</v>
      </c>
      <c r="H9" s="1" t="s">
        <v>30</v>
      </c>
    </row>
    <row r="10" spans="2:19">
      <c r="C10" s="4"/>
      <c r="D10" s="1"/>
      <c r="E10" s="31"/>
      <c r="F10" s="1"/>
      <c r="G10" s="1"/>
      <c r="H10" s="1" t="s">
        <v>31</v>
      </c>
    </row>
    <row r="11" spans="2:19">
      <c r="C11" s="4"/>
      <c r="D11" s="1"/>
      <c r="E11" s="31"/>
      <c r="F11" s="1"/>
      <c r="G11" s="1"/>
      <c r="H11" s="1"/>
    </row>
    <row r="12" spans="2:19">
      <c r="C12" s="4"/>
      <c r="D12" t="s">
        <v>137</v>
      </c>
      <c r="E12" t="s">
        <v>316</v>
      </c>
    </row>
    <row r="13" spans="2:19">
      <c r="C13" s="4"/>
      <c r="F13" t="s">
        <v>324</v>
      </c>
    </row>
    <row r="14" spans="2:19">
      <c r="B14">
        <v>4</v>
      </c>
      <c r="C14" s="4"/>
      <c r="G14" t="s">
        <v>320</v>
      </c>
    </row>
    <row r="15" spans="2:19">
      <c r="C15" s="4"/>
      <c r="H15" s="2" t="s">
        <v>318</v>
      </c>
    </row>
    <row r="16" spans="2:19">
      <c r="C16" s="4"/>
      <c r="H16" s="2" t="s">
        <v>329</v>
      </c>
    </row>
    <row r="17" spans="2:48">
      <c r="C17" s="4"/>
      <c r="H17" s="2" t="s">
        <v>358</v>
      </c>
    </row>
    <row r="18" spans="2:48">
      <c r="C18" s="4"/>
      <c r="H18" t="s">
        <v>322</v>
      </c>
      <c r="O18" t="s">
        <v>410</v>
      </c>
      <c r="P18" t="s">
        <v>319</v>
      </c>
    </row>
    <row r="19" spans="2:48">
      <c r="C19" s="4"/>
    </row>
    <row r="20" spans="2:48">
      <c r="B20">
        <v>4</v>
      </c>
      <c r="C20" s="4"/>
      <c r="G20" t="s">
        <v>323</v>
      </c>
    </row>
    <row r="21" spans="2:48">
      <c r="C21" s="4"/>
      <c r="G21" t="s">
        <v>317</v>
      </c>
    </row>
    <row r="22" spans="2:48">
      <c r="C22" s="4"/>
    </row>
    <row r="23" spans="2:48">
      <c r="C23" s="4"/>
      <c r="G23" t="s">
        <v>331</v>
      </c>
    </row>
    <row r="24" spans="2:48">
      <c r="C24" s="4"/>
    </row>
    <row r="25" spans="2:48">
      <c r="B25">
        <v>3</v>
      </c>
      <c r="C25" s="4"/>
      <c r="G25" t="s">
        <v>337</v>
      </c>
    </row>
    <row r="26" spans="2:48">
      <c r="C26" s="4"/>
    </row>
    <row r="27" spans="2:48">
      <c r="C27" s="4"/>
      <c r="H27" t="s">
        <v>351</v>
      </c>
    </row>
    <row r="28" spans="2:48">
      <c r="C28" s="4"/>
      <c r="H28" t="s">
        <v>352</v>
      </c>
    </row>
    <row r="29" spans="2:48">
      <c r="C29" s="4"/>
      <c r="Q29" t="s">
        <v>344</v>
      </c>
      <c r="AI29" t="s">
        <v>345</v>
      </c>
    </row>
    <row r="30" spans="2:48">
      <c r="C30" s="4"/>
      <c r="H30" t="s">
        <v>338</v>
      </c>
      <c r="K30" t="s">
        <v>339</v>
      </c>
      <c r="N30" t="s">
        <v>340</v>
      </c>
      <c r="Q30" t="s">
        <v>312</v>
      </c>
      <c r="T30" t="s">
        <v>309</v>
      </c>
      <c r="W30" t="s">
        <v>310</v>
      </c>
      <c r="Z30" t="s">
        <v>343</v>
      </c>
      <c r="AD30" t="s">
        <v>311</v>
      </c>
      <c r="AG30" t="s">
        <v>346</v>
      </c>
      <c r="AI30" t="s">
        <v>312</v>
      </c>
      <c r="AL30" t="s">
        <v>309</v>
      </c>
      <c r="AO30" t="s">
        <v>310</v>
      </c>
      <c r="AR30" t="s">
        <v>343</v>
      </c>
      <c r="AV30" t="s">
        <v>311</v>
      </c>
    </row>
    <row r="31" spans="2:48">
      <c r="C31" s="4"/>
      <c r="N31" t="s">
        <v>341</v>
      </c>
    </row>
    <row r="32" spans="2:48">
      <c r="C32" s="4"/>
      <c r="N32" t="s">
        <v>342</v>
      </c>
    </row>
    <row r="33" spans="2:14">
      <c r="C33" s="4"/>
      <c r="N33" t="s">
        <v>335</v>
      </c>
    </row>
    <row r="34" spans="2:14">
      <c r="C34" s="4"/>
    </row>
    <row r="35" spans="2:14">
      <c r="C35" s="4"/>
      <c r="F35" t="s">
        <v>302</v>
      </c>
    </row>
    <row r="36" spans="2:14">
      <c r="C36" s="4"/>
      <c r="G36" t="s">
        <v>305</v>
      </c>
      <c r="L36" t="s">
        <v>330</v>
      </c>
    </row>
    <row r="37" spans="2:14">
      <c r="C37" s="4"/>
      <c r="G37" t="s">
        <v>303</v>
      </c>
    </row>
    <row r="38" spans="2:14">
      <c r="C38" s="4"/>
      <c r="G38" t="s">
        <v>304</v>
      </c>
    </row>
    <row r="39" spans="2:14">
      <c r="C39" s="4"/>
      <c r="G39" t="s">
        <v>313</v>
      </c>
    </row>
    <row r="40" spans="2:14">
      <c r="C40" s="4"/>
      <c r="H40" t="s">
        <v>312</v>
      </c>
    </row>
    <row r="41" spans="2:14">
      <c r="C41" s="4"/>
      <c r="H41" t="s">
        <v>309</v>
      </c>
    </row>
    <row r="42" spans="2:14">
      <c r="C42" s="4"/>
      <c r="H42" t="s">
        <v>310</v>
      </c>
      <c r="K42" t="s">
        <v>314</v>
      </c>
    </row>
    <row r="43" spans="2:14">
      <c r="C43" s="4"/>
      <c r="H43" t="s">
        <v>315</v>
      </c>
    </row>
    <row r="44" spans="2:14">
      <c r="C44" s="4"/>
    </row>
    <row r="45" spans="2:14">
      <c r="C45" s="4"/>
      <c r="D45" t="s">
        <v>295</v>
      </c>
      <c r="E45" t="s">
        <v>297</v>
      </c>
    </row>
    <row r="46" spans="2:14">
      <c r="C46" s="4"/>
      <c r="F46" t="s">
        <v>324</v>
      </c>
    </row>
    <row r="47" spans="2:14">
      <c r="B47">
        <v>4</v>
      </c>
      <c r="C47" s="4"/>
      <c r="G47" t="s">
        <v>326</v>
      </c>
    </row>
    <row r="48" spans="2:14">
      <c r="C48" s="4"/>
      <c r="H48" s="2" t="s">
        <v>318</v>
      </c>
    </row>
    <row r="49" spans="2:44">
      <c r="C49" s="4"/>
      <c r="H49" s="2" t="s">
        <v>328</v>
      </c>
    </row>
    <row r="50" spans="2:44">
      <c r="B50">
        <v>4</v>
      </c>
      <c r="C50" s="4"/>
      <c r="G50" t="s">
        <v>327</v>
      </c>
    </row>
    <row r="51" spans="2:44">
      <c r="C51" s="4"/>
    </row>
    <row r="52" spans="2:44">
      <c r="C52" s="4"/>
      <c r="H52" s="2" t="s">
        <v>332</v>
      </c>
    </row>
    <row r="53" spans="2:44">
      <c r="C53" s="4"/>
      <c r="H53" s="2"/>
      <c r="I53" t="s">
        <v>347</v>
      </c>
    </row>
    <row r="54" spans="2:44">
      <c r="C54" s="4"/>
      <c r="H54" s="2"/>
      <c r="J54" t="s">
        <v>333</v>
      </c>
      <c r="R54" t="s">
        <v>321</v>
      </c>
      <c r="S54" t="s">
        <v>334</v>
      </c>
    </row>
    <row r="55" spans="2:44">
      <c r="C55" s="4"/>
      <c r="J55" t="s">
        <v>335</v>
      </c>
      <c r="R55" t="s">
        <v>321</v>
      </c>
      <c r="S55" t="s">
        <v>336</v>
      </c>
    </row>
    <row r="56" spans="2:44" s="4" customFormat="1"/>
    <row r="57" spans="2:44">
      <c r="C57" s="4"/>
      <c r="G57" t="s">
        <v>331</v>
      </c>
    </row>
    <row r="58" spans="2:44">
      <c r="C58" s="4"/>
    </row>
    <row r="59" spans="2:44">
      <c r="B59">
        <v>3</v>
      </c>
      <c r="C59" s="4"/>
      <c r="G59" t="s">
        <v>337</v>
      </c>
    </row>
    <row r="60" spans="2:44">
      <c r="C60" s="4"/>
    </row>
    <row r="61" spans="2:44">
      <c r="C61" s="4"/>
      <c r="H61" t="s">
        <v>351</v>
      </c>
    </row>
    <row r="62" spans="2:44">
      <c r="C62" s="4"/>
      <c r="H62" t="s">
        <v>352</v>
      </c>
    </row>
    <row r="63" spans="2:44">
      <c r="C63" s="4"/>
    </row>
    <row r="64" spans="2:44">
      <c r="Q64" t="s">
        <v>344</v>
      </c>
      <c r="AD64" t="s">
        <v>355</v>
      </c>
      <c r="AI64" t="s">
        <v>345</v>
      </c>
      <c r="AR64" t="s">
        <v>355</v>
      </c>
    </row>
    <row r="65" spans="2:48">
      <c r="C65" s="4"/>
      <c r="H65" t="s">
        <v>338</v>
      </c>
      <c r="K65" t="s">
        <v>339</v>
      </c>
      <c r="N65" t="s">
        <v>340</v>
      </c>
      <c r="Q65" t="s">
        <v>312</v>
      </c>
      <c r="T65" t="s">
        <v>309</v>
      </c>
      <c r="W65" t="s">
        <v>310</v>
      </c>
      <c r="Z65" t="s">
        <v>348</v>
      </c>
      <c r="AD65" t="s">
        <v>356</v>
      </c>
      <c r="AE65" t="s">
        <v>357</v>
      </c>
      <c r="AG65" t="s">
        <v>346</v>
      </c>
      <c r="AI65" t="s">
        <v>312</v>
      </c>
      <c r="AL65" t="s">
        <v>309</v>
      </c>
      <c r="AO65" t="s">
        <v>310</v>
      </c>
      <c r="AR65" t="s">
        <v>356</v>
      </c>
      <c r="AS65" t="s">
        <v>357</v>
      </c>
      <c r="AV65" t="s">
        <v>311</v>
      </c>
    </row>
    <row r="66" spans="2:48">
      <c r="C66" s="4"/>
      <c r="N66" t="s">
        <v>341</v>
      </c>
    </row>
    <row r="67" spans="2:48">
      <c r="C67" s="4"/>
      <c r="N67" t="s">
        <v>342</v>
      </c>
    </row>
    <row r="68" spans="2:48">
      <c r="C68" s="4"/>
      <c r="N68" t="s">
        <v>335</v>
      </c>
    </row>
    <row r="69" spans="2:48">
      <c r="C69" s="4"/>
    </row>
    <row r="70" spans="2:48">
      <c r="C70" s="4"/>
      <c r="F70" t="s">
        <v>302</v>
      </c>
    </row>
    <row r="71" spans="2:48">
      <c r="C71" s="4"/>
      <c r="G71" t="s">
        <v>305</v>
      </c>
      <c r="L71" t="s">
        <v>306</v>
      </c>
    </row>
    <row r="72" spans="2:48">
      <c r="C72" s="4"/>
      <c r="G72" t="s">
        <v>303</v>
      </c>
    </row>
    <row r="73" spans="2:48">
      <c r="C73" s="4"/>
      <c r="G73" t="s">
        <v>304</v>
      </c>
    </row>
    <row r="74" spans="2:48">
      <c r="C74" s="4"/>
      <c r="G74" t="s">
        <v>313</v>
      </c>
    </row>
    <row r="75" spans="2:48">
      <c r="C75" s="4"/>
      <c r="H75" t="s">
        <v>312</v>
      </c>
    </row>
    <row r="76" spans="2:48">
      <c r="C76" s="4"/>
      <c r="H76" t="s">
        <v>309</v>
      </c>
    </row>
    <row r="77" spans="2:48">
      <c r="C77" s="4"/>
      <c r="H77" t="s">
        <v>310</v>
      </c>
      <c r="K77" t="s">
        <v>314</v>
      </c>
    </row>
    <row r="78" spans="2:48">
      <c r="C78" s="4"/>
      <c r="H78" t="s">
        <v>315</v>
      </c>
    </row>
    <row r="79" spans="2:48">
      <c r="C79" s="4"/>
    </row>
    <row r="80" spans="2:48">
      <c r="B80" t="s">
        <v>307</v>
      </c>
      <c r="C80" s="4"/>
      <c r="D80" t="s">
        <v>296</v>
      </c>
      <c r="E80" t="s">
        <v>294</v>
      </c>
    </row>
    <row r="81" spans="3:29">
      <c r="C81" s="4"/>
      <c r="F81" t="s">
        <v>298</v>
      </c>
    </row>
    <row r="82" spans="3:29">
      <c r="C82" s="4"/>
      <c r="G82" t="s">
        <v>325</v>
      </c>
    </row>
    <row r="83" spans="3:29">
      <c r="C83" s="7"/>
      <c r="E83" s="4"/>
    </row>
    <row r="84" spans="3:29">
      <c r="F84" t="s">
        <v>397</v>
      </c>
      <c r="G84" t="s">
        <v>279</v>
      </c>
    </row>
    <row r="85" spans="3:29">
      <c r="G85" t="s">
        <v>207</v>
      </c>
      <c r="W85" t="s">
        <v>207</v>
      </c>
    </row>
    <row r="86" spans="3:29">
      <c r="H86" t="s">
        <v>196</v>
      </c>
      <c r="X86" t="s">
        <v>196</v>
      </c>
    </row>
    <row r="87" spans="3:29">
      <c r="I87" t="s">
        <v>195</v>
      </c>
      <c r="Y87" t="s">
        <v>195</v>
      </c>
    </row>
    <row r="88" spans="3:29">
      <c r="J88" t="s">
        <v>194</v>
      </c>
      <c r="Z88" s="1" t="s">
        <v>197</v>
      </c>
    </row>
    <row r="89" spans="3:29">
      <c r="K89" t="s">
        <v>193</v>
      </c>
      <c r="V89" t="s">
        <v>280</v>
      </c>
      <c r="AA89" t="s">
        <v>281</v>
      </c>
    </row>
    <row r="90" spans="3:29">
      <c r="L90" t="s">
        <v>187</v>
      </c>
      <c r="V90" t="s">
        <v>280</v>
      </c>
      <c r="AA90" t="s">
        <v>188</v>
      </c>
    </row>
    <row r="91" spans="3:29">
      <c r="L91" t="s">
        <v>188</v>
      </c>
      <c r="V91" t="s">
        <v>280</v>
      </c>
      <c r="AA91" t="s">
        <v>190</v>
      </c>
    </row>
    <row r="92" spans="3:29">
      <c r="L92" t="s">
        <v>190</v>
      </c>
      <c r="AB92" t="s">
        <v>191</v>
      </c>
    </row>
    <row r="93" spans="3:29">
      <c r="M93" t="s">
        <v>191</v>
      </c>
      <c r="AC93" t="s">
        <v>192</v>
      </c>
    </row>
    <row r="94" spans="3:29">
      <c r="N94" t="s">
        <v>192</v>
      </c>
    </row>
    <row r="95" spans="3:29">
      <c r="V95" t="s">
        <v>282</v>
      </c>
    </row>
    <row r="96" spans="3:29">
      <c r="V96" t="s">
        <v>283</v>
      </c>
    </row>
    <row r="97" spans="2:22">
      <c r="V97" t="s">
        <v>284</v>
      </c>
    </row>
    <row r="99" spans="2:22">
      <c r="B99">
        <v>1</v>
      </c>
      <c r="F99" t="s">
        <v>397</v>
      </c>
      <c r="G99" t="s">
        <v>274</v>
      </c>
    </row>
    <row r="100" spans="2:22">
      <c r="G100" s="91" t="s">
        <v>275</v>
      </c>
      <c r="H100" s="92"/>
    </row>
    <row r="101" spans="2:22">
      <c r="G101" s="92"/>
      <c r="H101" s="92" t="s">
        <v>293</v>
      </c>
    </row>
    <row r="104" spans="2:22">
      <c r="B104">
        <v>0.5</v>
      </c>
      <c r="F104" t="s">
        <v>397</v>
      </c>
      <c r="G104" t="s">
        <v>289</v>
      </c>
    </row>
    <row r="105" spans="2:22">
      <c r="G105" t="s">
        <v>292</v>
      </c>
    </row>
    <row r="106" spans="2:22">
      <c r="H106" t="s">
        <v>287</v>
      </c>
      <c r="Q106" t="s">
        <v>288</v>
      </c>
    </row>
    <row r="107" spans="2:22">
      <c r="H107" t="s">
        <v>290</v>
      </c>
    </row>
    <row r="108" spans="2:22">
      <c r="I108" t="s">
        <v>291</v>
      </c>
    </row>
    <row r="109" spans="2:22">
      <c r="B109">
        <v>2</v>
      </c>
      <c r="F109" t="s">
        <v>273</v>
      </c>
      <c r="G109" t="s">
        <v>285</v>
      </c>
    </row>
    <row r="110" spans="2:22">
      <c r="G110" t="s">
        <v>286</v>
      </c>
    </row>
    <row r="112" spans="2:22">
      <c r="F112" t="s">
        <v>278</v>
      </c>
      <c r="G112" t="s">
        <v>299</v>
      </c>
    </row>
    <row r="113" spans="2:7">
      <c r="G113" t="s">
        <v>300</v>
      </c>
    </row>
    <row r="115" spans="2:7">
      <c r="B115">
        <v>2</v>
      </c>
      <c r="F115" t="s">
        <v>349</v>
      </c>
      <c r="G115" t="s">
        <v>350</v>
      </c>
    </row>
    <row r="117" spans="2:7">
      <c r="F117" t="s">
        <v>398</v>
      </c>
      <c r="G117" t="s">
        <v>399</v>
      </c>
    </row>
    <row r="119" spans="2:7">
      <c r="F119" t="s">
        <v>415</v>
      </c>
      <c r="G119" t="s">
        <v>416</v>
      </c>
    </row>
    <row r="120" spans="2:7">
      <c r="F120" t="s">
        <v>415</v>
      </c>
      <c r="G120" t="s">
        <v>417</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概要</vt:lpstr>
      <vt:lpstr>★本ツールを実行する前に★</vt:lpstr>
      <vt:lpstr>チェック内容詳細</vt:lpstr>
      <vt:lpstr>(A)</vt:lpstr>
      <vt:lpstr>(B)</vt:lpstr>
      <vt:lpstr>(C)</vt:lpstr>
      <vt:lpstr>Summary</vt:lpstr>
      <vt:lpstr>Result(UT)</vt:lpstr>
      <vt:lpstr>Result(CT,FT,ST)</vt:lpstr>
      <vt:lpstr>データ入力</vt:lpstr>
      <vt:lpstr>リリースノート</vt:lpstr>
      <vt:lpstr>デバッグ用シート</vt:lpstr>
      <vt:lpstr>モジュール構成</vt:lpstr>
      <vt:lpstr>データ構造</vt:lpstr>
      <vt:lpstr>追加機能検討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TatsuyaEndo</cp:lastModifiedBy>
  <dcterms:created xsi:type="dcterms:W3CDTF">2006-09-16T00:00:00Z</dcterms:created>
  <dcterms:modified xsi:type="dcterms:W3CDTF">2015-04-20T14:45:01Z</dcterms:modified>
</cp:coreProperties>
</file>