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C:\codes\vba\excel\MacroBook\"/>
    </mc:Choice>
  </mc:AlternateContent>
  <xr:revisionPtr revIDLastSave="0" documentId="13_ncr:1_{C7D03CCA-3AAC-42CD-A736-C5CC4827096E}" xr6:coauthVersionLast="47" xr6:coauthVersionMax="47" xr10:uidLastSave="{00000000-0000-0000-0000-000000000000}"/>
  <bookViews>
    <workbookView xWindow="2145" yWindow="0" windowWidth="26655" windowHeight="16200" xr2:uid="{00000000-000D-0000-FFFF-FFFF00000000}"/>
  </bookViews>
  <sheets>
    <sheet name="概要" sheetId="1" r:id="rId1"/>
    <sheet name="★本ツールを実行する前に★" sheetId="25" r:id="rId2"/>
    <sheet name="チェック内容詳細" sheetId="23" r:id="rId3"/>
    <sheet name="(A)" sheetId="9" state="hidden" r:id="rId4"/>
    <sheet name="(B)" sheetId="6" state="hidden" r:id="rId5"/>
    <sheet name="(C)" sheetId="10" state="hidden" r:id="rId6"/>
    <sheet name="Summary" sheetId="20" state="hidden" r:id="rId7"/>
    <sheet name="Result(UT)" sheetId="26" r:id="rId8"/>
    <sheet name="Result(CT,FT,ST)" sheetId="27" r:id="rId9"/>
    <sheet name="データ入力" sheetId="13" r:id="rId10"/>
    <sheet name="リリースノート" sheetId="21" r:id="rId11"/>
    <sheet name="デバッグ用シート" sheetId="19" r:id="rId12"/>
    <sheet name="モジュール構成" sheetId="7" r:id="rId13"/>
    <sheet name="データ構造" sheetId="8" r:id="rId14"/>
    <sheet name="追加機能検討" sheetId="24" r:id="rId15"/>
  </sheets>
  <functionGroups builtInGroupCount="19">
    <functionGroup name="Commands"/>
    <functionGroup name="正規表現検索"/>
  </functionGroups>
  <externalReferences>
    <externalReference r:id="rId16"/>
  </externalReferences>
  <definedNames>
    <definedName name="_xlnm._FilterDatabase" localSheetId="5" hidden="1">'(C)'!$D$12:$H$13</definedName>
    <definedName name="_xlnm._FilterDatabase" localSheetId="2" hidden="1">チェック内容詳細!#REF!</definedName>
    <definedName name="_xlnm._FilterDatabase" localSheetId="13" hidden="1">データ構造!$B$16:$AI$16</definedName>
    <definedName name="_xlnm._FilterDatabase" localSheetId="0" hidden="1">概要!#REF!</definedName>
    <definedName name="_xlnm._FilterDatabase" localSheetId="14" hidden="1">追加機能検討!$B$112:$AV$112</definedName>
    <definedName name="カテゴリ">[1]data!$C$4:$C$18</definedName>
    <definedName name="現セル">INDIRECT(ADDRESS(ROW(),COLUMN()))</definedName>
    <definedName name="現行高さ列">INDIRECT(ADDRESS(ROW(),COLUMN(!$D1048574)))</definedName>
    <definedName name="現行次列">INDIRECT(ADDRESS(ROW(),COLUMN()+1))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7" i="13" l="1"/>
  <c r="E6" i="13"/>
  <c r="E5" i="13"/>
  <c r="E4" i="13" l="1"/>
  <c r="B4" i="24" l="1"/>
  <c r="C2" i="7" l="1"/>
  <c r="B2"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 xml:space="preserve"> </author>
    <author>TatsuyaEndo</author>
  </authors>
  <commentList>
    <comment ref="D5" authorId="0" shapeId="0" xr:uid="{00000000-0006-0000-0900-000001000000}">
      <text>
        <r>
          <rPr>
            <b/>
            <sz val="9"/>
            <color indexed="81"/>
            <rFont val="ＭＳ Ｐゴシック"/>
            <family val="3"/>
            <charset val="128"/>
          </rPr>
          <t>ログフォルダ名と一致する名称を記載
（システム試験の場合は「-」を記載）</t>
        </r>
      </text>
    </comment>
    <comment ref="D7" authorId="0" shapeId="0" xr:uid="{00000000-0006-0000-0900-000002000000}">
      <text>
        <r>
          <rPr>
            <b/>
            <sz val="9"/>
            <color indexed="81"/>
            <rFont val="ＭＳ Ｐゴシック"/>
            <family val="3"/>
            <charset val="128"/>
          </rPr>
          <t>「ログファイル格納先ルートフォルダ」のフォルダパスを記載
ex) C:\Coffer\svn_PTM\test\11_TF2次プロト2nd\41_結合試験ログ</t>
        </r>
      </text>
    </comment>
    <comment ref="I12" authorId="1" shapeId="0" xr:uid="{00000000-0006-0000-0900-000003000000}">
      <text>
        <r>
          <rPr>
            <b/>
            <sz val="9"/>
            <color indexed="81"/>
            <rFont val="ＭＳ Ｐゴシック"/>
            <family val="3"/>
            <charset val="128"/>
          </rPr>
          <t>OK固定</t>
        </r>
      </text>
    </comment>
    <comment ref="I13" authorId="2" shapeId="0" xr:uid="{00000000-0006-0000-0900-000004000000}">
      <text>
        <r>
          <rPr>
            <b/>
            <sz val="9"/>
            <color indexed="81"/>
            <rFont val="ＭＳ Ｐゴシック"/>
            <family val="3"/>
            <charset val="128"/>
          </rPr>
          <t>試験データ欄は、ログフォルダパス配下のログファイル名を自動的に書き込みます。</t>
        </r>
      </text>
    </comment>
  </commentList>
</comments>
</file>

<file path=xl/sharedStrings.xml><?xml version="1.0" encoding="utf-8"?>
<sst xmlns="http://schemas.openxmlformats.org/spreadsheetml/2006/main" count="600" uniqueCount="418">
  <si>
    <t>試験項目書ファイルパス</t>
    <rPh sb="0" eb="2">
      <t>シケン</t>
    </rPh>
    <rPh sb="2" eb="4">
      <t>コウモク</t>
    </rPh>
    <rPh sb="4" eb="5">
      <t>ショ</t>
    </rPh>
    <phoneticPr fontId="2"/>
  </si>
  <si>
    <t>試験ログフォルダパス</t>
    <rPh sb="0" eb="2">
      <t>シケン</t>
    </rPh>
    <phoneticPr fontId="2"/>
  </si>
  <si>
    <t>★</t>
    <phoneticPr fontId="2"/>
  </si>
  <si>
    <t>FT</t>
    <phoneticPr fontId="2"/>
  </si>
  <si>
    <t>ST</t>
    <phoneticPr fontId="2"/>
  </si>
  <si>
    <t>→チェックしない。</t>
    <phoneticPr fontId="2"/>
  </si>
  <si>
    <t>例）</t>
    <rPh sb="0" eb="1">
      <t>レイ</t>
    </rPh>
    <phoneticPr fontId="2"/>
  </si>
  <si>
    <t>項番命名規則をチェックするか。</t>
    <phoneticPr fontId="2"/>
  </si>
  <si>
    <t>02-DIAG</t>
  </si>
  <si>
    <t>02_診断モニタ変更</t>
  </si>
  <si>
    <t>↓</t>
    <phoneticPr fontId="2"/>
  </si>
  <si>
    <t>理由２：</t>
    <rPh sb="0" eb="2">
      <t>リユウ</t>
    </rPh>
    <phoneticPr fontId="2"/>
  </si>
  <si>
    <t>理由１：</t>
    <rPh sb="0" eb="2">
      <t>リユウ</t>
    </rPh>
    <phoneticPr fontId="2"/>
  </si>
  <si>
    <t>本ツールは、「試験実施後のログコミット前」もしくは「リリース前のログ過不足チェック」時点で使用する。</t>
    <rPh sb="0" eb="1">
      <t>ホン</t>
    </rPh>
    <rPh sb="7" eb="9">
      <t>シケン</t>
    </rPh>
    <rPh sb="9" eb="12">
      <t>ジッシゴ</t>
    </rPh>
    <rPh sb="19" eb="20">
      <t>マエ</t>
    </rPh>
    <rPh sb="30" eb="31">
      <t>マエ</t>
    </rPh>
    <rPh sb="34" eb="37">
      <t>カブソク</t>
    </rPh>
    <rPh sb="42" eb="44">
      <t>ジテン</t>
    </rPh>
    <rPh sb="45" eb="47">
      <t>シヨウ</t>
    </rPh>
    <phoneticPr fontId="2"/>
  </si>
  <si>
    <t>項番命名規則は項目書作成時点で決める必要があるものであるため。</t>
    <phoneticPr fontId="2"/>
  </si>
  <si>
    <t>理由３：</t>
    <rPh sb="0" eb="2">
      <t>リユウ</t>
    </rPh>
    <phoneticPr fontId="2"/>
  </si>
  <si>
    <t>ツールでチェックする必要がなくなるため。</t>
    <phoneticPr fontId="2"/>
  </si>
  <si>
    <t>【参考】</t>
    <phoneticPr fontId="2"/>
  </si>
  <si>
    <t>TF22 時点での項番命名規則は以下。</t>
    <rPh sb="5" eb="7">
      <t>ジテン</t>
    </rPh>
    <rPh sb="9" eb="10">
      <t>コウ</t>
    </rPh>
    <rPh sb="10" eb="11">
      <t>バン</t>
    </rPh>
    <rPh sb="11" eb="13">
      <t>メイメイ</t>
    </rPh>
    <rPh sb="13" eb="15">
      <t>キソク</t>
    </rPh>
    <rPh sb="16" eb="18">
      <t>イカ</t>
    </rPh>
    <phoneticPr fontId="2"/>
  </si>
  <si>
    <t>CT</t>
    <phoneticPr fontId="2"/>
  </si>
  <si>
    <t>ex) TF22_CT_05_002</t>
    <phoneticPr fontId="2"/>
  </si>
  <si>
    <t>ex) TF22-02-DIAG-kyv_lo-002</t>
    <phoneticPr fontId="2"/>
  </si>
  <si>
    <t>ex) TF22_ST_03_POF_003</t>
    <phoneticPr fontId="2"/>
  </si>
  <si>
    <t>[開発名]_[案件番号]-[案件ID](_[診断名])_[項目番号]</t>
    <rPh sb="1" eb="3">
      <t>カイハツ</t>
    </rPh>
    <rPh sb="3" eb="4">
      <t>メイ</t>
    </rPh>
    <rPh sb="7" eb="9">
      <t>アンケン</t>
    </rPh>
    <rPh sb="9" eb="11">
      <t>バンゴウ</t>
    </rPh>
    <rPh sb="14" eb="16">
      <t>アンケン</t>
    </rPh>
    <rPh sb="22" eb="24">
      <t>シンダン</t>
    </rPh>
    <rPh sb="24" eb="25">
      <t>メイ</t>
    </rPh>
    <rPh sb="29" eb="31">
      <t>コウモク</t>
    </rPh>
    <rPh sb="31" eb="33">
      <t>バンゴウ</t>
    </rPh>
    <phoneticPr fontId="2"/>
  </si>
  <si>
    <t>[開発名]_CT_[案件番号]_[項番]</t>
    <rPh sb="1" eb="3">
      <t>カイハツ</t>
    </rPh>
    <rPh sb="3" eb="4">
      <t>メイ</t>
    </rPh>
    <rPh sb="10" eb="12">
      <t>アンケン</t>
    </rPh>
    <rPh sb="12" eb="14">
      <t>バンゴウ</t>
    </rPh>
    <rPh sb="17" eb="18">
      <t>コウ</t>
    </rPh>
    <rPh sb="18" eb="19">
      <t>バン</t>
    </rPh>
    <phoneticPr fontId="2"/>
  </si>
  <si>
    <t>[開発名]_ST_[案件番号]_[シート名]_[項番]</t>
    <rPh sb="1" eb="3">
      <t>カイハツ</t>
    </rPh>
    <rPh sb="3" eb="4">
      <t>メイ</t>
    </rPh>
    <rPh sb="10" eb="12">
      <t>アンケン</t>
    </rPh>
    <rPh sb="12" eb="14">
      <t>バンゴウ</t>
    </rPh>
    <rPh sb="20" eb="21">
      <t>メイ</t>
    </rPh>
    <rPh sb="24" eb="25">
      <t>コウ</t>
    </rPh>
    <rPh sb="25" eb="26">
      <t>バン</t>
    </rPh>
    <phoneticPr fontId="2"/>
  </si>
  <si>
    <t>‐</t>
    <phoneticPr fontId="2"/>
  </si>
  <si>
    <t>単体試験 or 結合試験 or 機能試験 or システム試験</t>
    <rPh sb="0" eb="2">
      <t>タンタイ</t>
    </rPh>
    <rPh sb="2" eb="4">
      <t>シケン</t>
    </rPh>
    <rPh sb="8" eb="10">
      <t>ケツゴウ</t>
    </rPh>
    <rPh sb="10" eb="12">
      <t>シケン</t>
    </rPh>
    <rPh sb="16" eb="18">
      <t>キノウ</t>
    </rPh>
    <rPh sb="18" eb="20">
      <t>シケン</t>
    </rPh>
    <rPh sb="28" eb="30">
      <t>シケン</t>
    </rPh>
    <phoneticPr fontId="2"/>
  </si>
  <si>
    <t>指定フォルダ配下の全項目書に対して、試験ログの過不足をチェックする。</t>
    <rPh sb="0" eb="2">
      <t>シテイ</t>
    </rPh>
    <rPh sb="6" eb="8">
      <t>ハイカ</t>
    </rPh>
    <rPh sb="9" eb="10">
      <t>ゼン</t>
    </rPh>
    <rPh sb="10" eb="12">
      <t>コウモク</t>
    </rPh>
    <rPh sb="12" eb="13">
      <t>ショ</t>
    </rPh>
    <rPh sb="14" eb="15">
      <t>タイ</t>
    </rPh>
    <rPh sb="18" eb="20">
      <t>シケン</t>
    </rPh>
    <rPh sb="23" eb="26">
      <t>カブソク</t>
    </rPh>
    <phoneticPr fontId="2"/>
  </si>
  <si>
    <t>※</t>
  </si>
  <si>
    <t>「試験ファイル過不足チェックツール.xls」がチェック可能なのは「単一の項目書」に対してのみであった。</t>
    <rPh sb="27" eb="29">
      <t>カノウ</t>
    </rPh>
    <rPh sb="41" eb="42">
      <t>タイ</t>
    </rPh>
    <phoneticPr fontId="2"/>
  </si>
  <si>
    <t>そのため、本機能が出来れば「試験ファイル過不足チェックツール.xls」は不要となる。</t>
    <rPh sb="5" eb="8">
      <t>ホンキノウ</t>
    </rPh>
    <rPh sb="9" eb="11">
      <t>デキ</t>
    </rPh>
    <rPh sb="36" eb="38">
      <t>フヨウ</t>
    </rPh>
    <phoneticPr fontId="2"/>
  </si>
  <si>
    <t>「コミット自動化機能」を使用せずにコミットした場合を考慮。</t>
    <rPh sb="12" eb="14">
      <t>シヨウ</t>
    </rPh>
    <rPh sb="23" eb="25">
      <t>バアイ</t>
    </rPh>
    <rPh sb="26" eb="28">
      <t>コウリョ</t>
    </rPh>
    <phoneticPr fontId="2"/>
  </si>
  <si>
    <t>コミット自動化機能</t>
    <rPh sb="4" eb="7">
      <t>ジドウカ</t>
    </rPh>
    <rPh sb="7" eb="9">
      <t>キノウ</t>
    </rPh>
    <phoneticPr fontId="2"/>
  </si>
  <si>
    <t>&lt;&lt;チェック内容&gt;&gt;</t>
    <rPh sb="6" eb="8">
      <t>ナイヨウ</t>
    </rPh>
    <phoneticPr fontId="2"/>
  </si>
  <si>
    <t>エラー詳細</t>
    <rPh sb="3" eb="5">
      <t>ショウサイ</t>
    </rPh>
    <phoneticPr fontId="2"/>
  </si>
  <si>
    <t>チェック結果</t>
    <rPh sb="4" eb="6">
      <t>ケッカ</t>
    </rPh>
    <phoneticPr fontId="2"/>
  </si>
  <si>
    <t>エラー数</t>
    <rPh sb="3" eb="4">
      <t>スウ</t>
    </rPh>
    <phoneticPr fontId="2"/>
  </si>
  <si>
    <t>試験項目書ファイル名</t>
    <rPh sb="0" eb="2">
      <t>シケン</t>
    </rPh>
    <rPh sb="2" eb="4">
      <t>コウモク</t>
    </rPh>
    <rPh sb="4" eb="5">
      <t>ショ</t>
    </rPh>
    <rPh sb="9" eb="10">
      <t>メイ</t>
    </rPh>
    <phoneticPr fontId="2"/>
  </si>
  <si>
    <t>項番</t>
    <rPh sb="0" eb="1">
      <t>コウ</t>
    </rPh>
    <rPh sb="1" eb="2">
      <t>バン</t>
    </rPh>
    <phoneticPr fontId="2"/>
  </si>
  <si>
    <t>試験データ</t>
    <rPh sb="0" eb="2">
      <t>シケン</t>
    </rPh>
    <phoneticPr fontId="2"/>
  </si>
  <si>
    <t>シート名</t>
    <rPh sb="3" eb="4">
      <t>メイ</t>
    </rPh>
    <phoneticPr fontId="2"/>
  </si>
  <si>
    <t>属性</t>
    <rPh sb="0" eb="2">
      <t>ゾクセイ</t>
    </rPh>
    <phoneticPr fontId="2"/>
  </si>
  <si>
    <t>ファイルリスト取得</t>
    <rPh sb="7" eb="9">
      <t>シュトク</t>
    </rPh>
    <phoneticPr fontId="2"/>
  </si>
  <si>
    <t>入力情報取得</t>
    <rPh sb="0" eb="2">
      <t>ニュウリョク</t>
    </rPh>
    <rPh sb="2" eb="4">
      <t>ジョウホウ</t>
    </rPh>
    <rPh sb="4" eb="6">
      <t>シュトク</t>
    </rPh>
    <phoneticPr fontId="2"/>
  </si>
  <si>
    <t>項目書名</t>
  </si>
  <si>
    <t>シート情報()</t>
  </si>
  <si>
    <t>シート名</t>
  </si>
  <si>
    <t>項目情報()</t>
  </si>
  <si>
    <t>項番</t>
  </si>
  <si>
    <t>テストログ名()</t>
  </si>
  <si>
    <t>UT 項目書情報 取得</t>
    <rPh sb="3" eb="5">
      <t>コウモク</t>
    </rPh>
    <rPh sb="5" eb="6">
      <t>ショ</t>
    </rPh>
    <rPh sb="6" eb="8">
      <t>ジョウホウ</t>
    </rPh>
    <rPh sb="9" eb="11">
      <t>シュトク</t>
    </rPh>
    <phoneticPr fontId="2"/>
  </si>
  <si>
    <t>項目書情報取得</t>
    <rPh sb="0" eb="2">
      <t>コウモク</t>
    </rPh>
    <rPh sb="2" eb="3">
      <t>ショ</t>
    </rPh>
    <rPh sb="3" eb="5">
      <t>ジョウホウ</t>
    </rPh>
    <rPh sb="5" eb="7">
      <t>シュトク</t>
    </rPh>
    <phoneticPr fontId="2"/>
  </si>
  <si>
    <t>ファイルリスト</t>
    <phoneticPr fontId="2"/>
  </si>
  <si>
    <t>ファイル情報()</t>
    <rPh sb="4" eb="6">
      <t>ジョウホウ</t>
    </rPh>
    <phoneticPr fontId="2"/>
  </si>
  <si>
    <t>属性（ディレクトリ/ファイル）</t>
    <rPh sb="0" eb="2">
      <t>ゾクセイ</t>
    </rPh>
    <phoneticPr fontId="2"/>
  </si>
  <si>
    <t>GetFileList</t>
    <phoneticPr fontId="2"/>
  </si>
  <si>
    <t>コミットダイアログ表示</t>
    <rPh sb="9" eb="11">
      <t>ヒョウジ</t>
    </rPh>
    <phoneticPr fontId="2"/>
  </si>
  <si>
    <t>コミット対象ファイルSVN追加</t>
    <rPh sb="4" eb="6">
      <t>タイショウ</t>
    </rPh>
    <rPh sb="13" eb="15">
      <t>ツイカ</t>
    </rPh>
    <phoneticPr fontId="2"/>
  </si>
  <si>
    <t>備考</t>
    <rPh sb="0" eb="2">
      <t>ビコウ</t>
    </rPh>
    <phoneticPr fontId="2"/>
  </si>
  <si>
    <t>コールツリー</t>
    <phoneticPr fontId="2"/>
  </si>
  <si>
    <t>ソースファイル名</t>
    <phoneticPr fontId="2"/>
  </si>
  <si>
    <t>関数名</t>
    <rPh sb="0" eb="2">
      <t>カンスウ</t>
    </rPh>
    <phoneticPr fontId="2"/>
  </si>
  <si>
    <t>Item ： シート情報Idx</t>
  </si>
  <si>
    <t>Key ： 項目書名\ソースファイル名\関数名\TestCoverLog\ソースファイル名（.cつき）\カバレッジファイル名（関数名.c）</t>
    <rPh sb="44" eb="45">
      <t>メイ</t>
    </rPh>
    <rPh sb="61" eb="62">
      <t>メイ</t>
    </rPh>
    <rPh sb="63" eb="65">
      <t>カンスウ</t>
    </rPh>
    <rPh sb="65" eb="66">
      <t>メイ</t>
    </rPh>
    <phoneticPr fontId="2"/>
  </si>
  <si>
    <t>(A)</t>
    <phoneticPr fontId="2"/>
  </si>
  <si>
    <t>(B)</t>
    <phoneticPr fontId="2"/>
  </si>
  <si>
    <t>(C)</t>
    <phoneticPr fontId="2"/>
  </si>
  <si>
    <t>項目書情報</t>
    <phoneticPr fontId="2"/>
  </si>
  <si>
    <t>赤字はUT 選択時、青字はCT/FT/ST 選択時のみ使用するメンバ。</t>
    <rPh sb="0" eb="2">
      <t>アカジ</t>
    </rPh>
    <rPh sb="10" eb="11">
      <t>アオ</t>
    </rPh>
    <rPh sb="11" eb="12">
      <t>ジ</t>
    </rPh>
    <rPh sb="22" eb="24">
      <t>センタク</t>
    </rPh>
    <rPh sb="24" eb="25">
      <t>ジ</t>
    </rPh>
    <rPh sb="27" eb="29">
      <t>シヨウ</t>
    </rPh>
    <phoneticPr fontId="2"/>
  </si>
  <si>
    <r>
      <t xml:space="preserve">(A) ログファイル名の命名規則がルールどおりか（項番⇔試験データ欄の整合性確認）
</t>
    </r>
    <r>
      <rPr>
        <sz val="11"/>
        <color theme="1"/>
        <rFont val="ＭＳ ゴシック"/>
        <family val="3"/>
        <charset val="128"/>
      </rPr>
      <t>【UT】
・htm、csv、txt が漏れなく存在するか。
・csv ファイルが[関数名]_[項番].csv になっているか
・txt ファイルが[関数名].txt になっているか。
【CT、FT、ST】
・項番とファイル名が一致しているか。
（一致しない場合は Warning とし、処理を進める）</t>
    </r>
    <rPh sb="167" eb="169">
      <t>イッチ</t>
    </rPh>
    <rPh sb="172" eb="174">
      <t>バアイ</t>
    </rPh>
    <rPh sb="187" eb="189">
      <t>ショリ</t>
    </rPh>
    <rPh sb="190" eb="191">
      <t>スス</t>
    </rPh>
    <phoneticPr fontId="2"/>
  </si>
  <si>
    <t>Item ： シート情報Idx_項目情報Idx_テストログIdx</t>
    <phoneticPr fontId="2"/>
  </si>
  <si>
    <t>入力情報</t>
    <rPh sb="0" eb="2">
      <t>ニュウリョク</t>
    </rPh>
    <phoneticPr fontId="2"/>
  </si>
  <si>
    <t>試験フェーズ</t>
    <rPh sb="0" eb="2">
      <t>シケン</t>
    </rPh>
    <phoneticPr fontId="2"/>
  </si>
  <si>
    <t>項目書ファイルパス</t>
    <rPh sb="0" eb="2">
      <t>コウモク</t>
    </rPh>
    <rPh sb="2" eb="3">
      <t>ショ</t>
    </rPh>
    <phoneticPr fontId="2"/>
  </si>
  <si>
    <t>処理概要</t>
    <rPh sb="0" eb="2">
      <t>ショリ</t>
    </rPh>
    <rPh sb="2" eb="4">
      <t>ガイヨウ</t>
    </rPh>
    <phoneticPr fontId="2"/>
  </si>
  <si>
    <t>↑</t>
    <phoneticPr fontId="2"/>
  </si>
  <si>
    <t>ShowCommitDialog</t>
    <phoneticPr fontId="2"/>
  </si>
  <si>
    <t>AddLogFiles2Svn</t>
    <phoneticPr fontId="2"/>
  </si>
  <si>
    <t>ワーニング数</t>
    <rPh sb="5" eb="6">
      <t>スウ</t>
    </rPh>
    <phoneticPr fontId="2"/>
  </si>
  <si>
    <t>ChkTestDataMain</t>
    <phoneticPr fontId="2"/>
  </si>
  <si>
    <t>チェック結果を配列に格納</t>
    <rPh sb="4" eb="6">
      <t>ケッカ</t>
    </rPh>
    <rPh sb="7" eb="9">
      <t>ハイレツ</t>
    </rPh>
    <rPh sb="10" eb="12">
      <t>カクノウ</t>
    </rPh>
    <phoneticPr fontId="2"/>
  </si>
  <si>
    <t>配列内の結果をセルに出力</t>
    <rPh sb="0" eb="2">
      <t>ハイレツ</t>
    </rPh>
    <rPh sb="2" eb="3">
      <t>ナイ</t>
    </rPh>
    <rPh sb="4" eb="6">
      <t>ケッカ</t>
    </rPh>
    <rPh sb="10" eb="12">
      <t>シュツリョク</t>
    </rPh>
    <phoneticPr fontId="2"/>
  </si>
  <si>
    <t>単体試験</t>
  </si>
  <si>
    <t>GetInputInfo</t>
    <phoneticPr fontId="2"/>
  </si>
  <si>
    <t>GetTCDocInfo4UT</t>
    <phoneticPr fontId="2"/>
  </si>
  <si>
    <t>GetTCDocInfo</t>
    <phoneticPr fontId="2"/>
  </si>
  <si>
    <t>GetTCDocInfo4ExceptUT</t>
    <phoneticPr fontId="2"/>
  </si>
  <si>
    <t>CT/FT/ST 項目書情報 取得</t>
    <rPh sb="9" eb="11">
      <t>コウモク</t>
    </rPh>
    <rPh sb="11" eb="12">
      <t>ショ</t>
    </rPh>
    <rPh sb="12" eb="14">
      <t>ジョウホウ</t>
    </rPh>
    <rPh sb="15" eb="17">
      <t>シュトク</t>
    </rPh>
    <phoneticPr fontId="2"/>
  </si>
  <si>
    <t>ファイル/ディレクトリパス（フルパス）</t>
    <phoneticPr fontId="2"/>
  </si>
  <si>
    <t>予[h]</t>
    <rPh sb="0" eb="1">
      <t>ヨ</t>
    </rPh>
    <phoneticPr fontId="2"/>
  </si>
  <si>
    <t>実[h]</t>
    <rPh sb="0" eb="1">
      <t>ジツ</t>
    </rPh>
    <phoneticPr fontId="2"/>
  </si>
  <si>
    <t>TF22-06_COM-IF_V_TX-050</t>
    <phoneticPr fontId="2"/>
  </si>
  <si>
    <t>TF22-06_COM-IF_V_TX-050^066.asc</t>
    <phoneticPr fontId="2"/>
  </si>
  <si>
    <t>試験データ：</t>
    <rPh sb="0" eb="2">
      <t>シケン</t>
    </rPh>
    <phoneticPr fontId="2"/>
  </si>
  <si>
    <t>項番</t>
    <rPh sb="0" eb="1">
      <t>コウ</t>
    </rPh>
    <rPh sb="1" eb="2">
      <t>バン</t>
    </rPh>
    <phoneticPr fontId="2"/>
  </si>
  <si>
    <t>StoreErrMsg</t>
    <phoneticPr fontId="2"/>
  </si>
  <si>
    <t>OutpErrMsg</t>
    <phoneticPr fontId="2"/>
  </si>
  <si>
    <r>
      <t>(C) 試験ログ余分チェック（記載漏れ）</t>
    </r>
    <r>
      <rPr>
        <sz val="11"/>
        <color theme="1"/>
        <rFont val="ＭＳ ゴシック"/>
        <family val="3"/>
        <charset val="128"/>
      </rPr>
      <t xml:space="preserve">
</t>
    </r>
    <r>
      <rPr>
        <b/>
        <sz val="11"/>
        <color theme="1"/>
        <rFont val="ＭＳ ゴシック"/>
        <family val="3"/>
        <charset val="128"/>
      </rPr>
      <t xml:space="preserve">
</t>
    </r>
    <r>
      <rPr>
        <sz val="11"/>
        <color theme="1"/>
        <rFont val="ＭＳ ゴシック"/>
        <family val="3"/>
        <charset val="128"/>
      </rPr>
      <t>【UT】
csv ファイルなら「期待CSVファイルパスリスト」に存在するか。
txt ファイルなら「期待カバレッジファイルパスリスト」に存在するか。
htm ファイルなら「期待テスト報告書ファイルパスリスト」に存在するか。
【CT、FT、ST】
ファイルなら、「期待テストログファイルパスリスト」に存在するか。</t>
    </r>
    <rPh sb="15" eb="17">
      <t>キサイ</t>
    </rPh>
    <rPh sb="17" eb="18">
      <t>モ</t>
    </rPh>
    <rPh sb="172" eb="174">
      <t>ソンザイ</t>
    </rPh>
    <phoneticPr fontId="2"/>
  </si>
  <si>
    <r>
      <t xml:space="preserve">(B) 試験ログ不足チェック（ログ未存在）
</t>
    </r>
    <r>
      <rPr>
        <sz val="11"/>
        <color theme="1"/>
        <rFont val="ＭＳ ゴシック"/>
        <family val="3"/>
        <charset val="128"/>
      </rPr>
      <t>テストデータ欄から「期待ＸＸＸファイルパスリスト」を作って、存在確認を行う。</t>
    </r>
    <rPh sb="17" eb="18">
      <t>ミ</t>
    </rPh>
    <rPh sb="18" eb="20">
      <t>ソンザイ</t>
    </rPh>
    <rPh sb="29" eb="30">
      <t>ラン</t>
    </rPh>
    <rPh sb="33" eb="35">
      <t>キタイ</t>
    </rPh>
    <rPh sb="49" eb="50">
      <t>ツク</t>
    </rPh>
    <rPh sb="53" eb="55">
      <t>ソンザイ</t>
    </rPh>
    <rPh sb="55" eb="57">
      <t>カクニン</t>
    </rPh>
    <rPh sb="58" eb="59">
      <t>オコナ</t>
    </rPh>
    <phoneticPr fontId="2"/>
  </si>
  <si>
    <t>ChkExistLogFileMain</t>
    <phoneticPr fontId="2"/>
  </si>
  <si>
    <t>以下を許す？→ Warning のみとする。</t>
    <rPh sb="0" eb="2">
      <t>イカ</t>
    </rPh>
    <rPh sb="3" eb="4">
      <t>ユル</t>
    </rPh>
    <phoneticPr fontId="2"/>
  </si>
  <si>
    <t>★</t>
    <phoneticPr fontId="2"/>
  </si>
  <si>
    <t>リファクタリング</t>
    <phoneticPr fontId="2"/>
  </si>
  <si>
    <t>ブック数分作る。</t>
    <rPh sb="3" eb="4">
      <t>スウ</t>
    </rPh>
    <rPh sb="4" eb="5">
      <t>ブン</t>
    </rPh>
    <rPh sb="5" eb="6">
      <t>ツク</t>
    </rPh>
    <phoneticPr fontId="2"/>
  </si>
  <si>
    <t>フォルダ構成を知っている人を限る</t>
    <rPh sb="4" eb="6">
      <t>コウセイ</t>
    </rPh>
    <rPh sb="7" eb="8">
      <t>シ</t>
    </rPh>
    <rPh sb="12" eb="13">
      <t>ヒト</t>
    </rPh>
    <rPh sb="14" eb="15">
      <t>カギ</t>
    </rPh>
    <phoneticPr fontId="2"/>
  </si>
  <si>
    <t>C:\Coffer\svn_PTM\trunk\03_管理\30_ツール\test\TF2次プロト2nd単体試験項目書_02_診断モニタ変更_dgMonCanLocalComErr-16686.xls</t>
  </si>
  <si>
    <t>結合試験</t>
    <rPh sb="0" eb="2">
      <t>ケツゴウ</t>
    </rPh>
    <rPh sb="2" eb="4">
      <t>シケン</t>
    </rPh>
    <phoneticPr fontId="2"/>
  </si>
  <si>
    <t>C:\Coffer\svn_PTM\trunk\03_管理\30_ツール\test\TF2次プロト2nd結合項目書_04_起動終了シーケンス変更-16852.xlsx</t>
    <phoneticPr fontId="2"/>
  </si>
  <si>
    <t>機能試験</t>
    <rPh sb="0" eb="2">
      <t>キノウ</t>
    </rPh>
    <rPh sb="2" eb="4">
      <t>シケン</t>
    </rPh>
    <phoneticPr fontId="2"/>
  </si>
  <si>
    <t>C:\Coffer\svn_PTM\trunk\03_管理\30_ツール\test\TF2次プロト2nd機能試験項目書_06_CAN(データ)-17108.xls</t>
    <phoneticPr fontId="2"/>
  </si>
  <si>
    <t>C:\Coffer\svn_PTM\trunk\03_管理\30_ツール\test\TF2次プロト2nd機能試験項目書_01_診断マネージャ(MNG)-17022.xls</t>
    <phoneticPr fontId="2"/>
  </si>
  <si>
    <t>C:\Coffer\svn_PTM\trunk\03_管理\30_ツール\test\ST</t>
    <phoneticPr fontId="2"/>
  </si>
  <si>
    <t>システム試験</t>
    <rPh sb="4" eb="6">
      <t>シケン</t>
    </rPh>
    <phoneticPr fontId="2"/>
  </si>
  <si>
    <t>ChkTestDataOmissionMain</t>
    <phoneticPr fontId="2"/>
  </si>
  <si>
    <t>ファイル名</t>
    <rPh sb="4" eb="5">
      <t>メイ</t>
    </rPh>
    <phoneticPr fontId="2"/>
  </si>
  <si>
    <t>パス</t>
    <phoneticPr fontId="2"/>
  </si>
  <si>
    <t>C:\Coffer\svn_PTM\trunk\03_管理\30_ツール\test\TF2次プロト2ndシステム試験項目書-17650.xlsx</t>
    <phoneticPr fontId="2"/>
  </si>
  <si>
    <t>試験項目書の試験データ欄に記載されているログファイル名が命名規則と合致しているか確認する。</t>
    <rPh sb="0" eb="2">
      <t>シケン</t>
    </rPh>
    <rPh sb="2" eb="4">
      <t>コウモク</t>
    </rPh>
    <rPh sb="4" eb="5">
      <t>ショ</t>
    </rPh>
    <rPh sb="6" eb="8">
      <t>シケン</t>
    </rPh>
    <rPh sb="11" eb="12">
      <t>ラン</t>
    </rPh>
    <rPh sb="13" eb="15">
      <t>キサイ</t>
    </rPh>
    <rPh sb="26" eb="27">
      <t>メイ</t>
    </rPh>
    <rPh sb="28" eb="30">
      <t>メイメイ</t>
    </rPh>
    <rPh sb="30" eb="32">
      <t>キソク</t>
    </rPh>
    <rPh sb="33" eb="35">
      <t>ガッチ</t>
    </rPh>
    <rPh sb="40" eb="42">
      <t>カクニン</t>
    </rPh>
    <phoneticPr fontId="2"/>
  </si>
  <si>
    <t>試験ログ不足チェック</t>
    <phoneticPr fontId="2"/>
  </si>
  <si>
    <t>(B) 試験ログファイル不足チェック</t>
  </si>
  <si>
    <t>(B) 試験ログファイル不足チェック</t>
    <phoneticPr fontId="2"/>
  </si>
  <si>
    <t>試験項目書の試験データ欄に記載されているログファイルが試験ログフォルダ配下に存在するか確認する。</t>
    <rPh sb="0" eb="2">
      <t>シケン</t>
    </rPh>
    <rPh sb="2" eb="4">
      <t>コウモク</t>
    </rPh>
    <rPh sb="4" eb="5">
      <t>ショ</t>
    </rPh>
    <rPh sb="6" eb="8">
      <t>シケン</t>
    </rPh>
    <rPh sb="11" eb="12">
      <t>ラン</t>
    </rPh>
    <rPh sb="13" eb="15">
      <t>キサイ</t>
    </rPh>
    <rPh sb="27" eb="29">
      <t>シケン</t>
    </rPh>
    <rPh sb="35" eb="37">
      <t>ハイカ</t>
    </rPh>
    <rPh sb="38" eb="40">
      <t>ソンザイ</t>
    </rPh>
    <rPh sb="43" eb="45">
      <t>カクニン</t>
    </rPh>
    <phoneticPr fontId="2"/>
  </si>
  <si>
    <t>試験ログ余分チェック</t>
    <phoneticPr fontId="2"/>
  </si>
  <si>
    <t>(C) 試験ログファイル余分チェック</t>
  </si>
  <si>
    <t>(C) 試験ログファイル余分チェック</t>
    <phoneticPr fontId="2"/>
  </si>
  <si>
    <t>試験ログフォルダ配下に格納されたログファイルが、試験項目書の試験データ欄に記載されているか確認する。</t>
    <rPh sb="11" eb="13">
      <t>カクノウ</t>
    </rPh>
    <rPh sb="24" eb="26">
      <t>シケン</t>
    </rPh>
    <rPh sb="26" eb="28">
      <t>コウモク</t>
    </rPh>
    <rPh sb="28" eb="29">
      <t>ショ</t>
    </rPh>
    <rPh sb="30" eb="32">
      <t>シケン</t>
    </rPh>
    <rPh sb="35" eb="36">
      <t>ラン</t>
    </rPh>
    <rPh sb="37" eb="39">
      <t>キサイ</t>
    </rPh>
    <rPh sb="45" eb="47">
      <t>カクニン</t>
    </rPh>
    <phoneticPr fontId="2"/>
  </si>
  <si>
    <t>(A) ログファイル名命名規則チェック</t>
    <phoneticPr fontId="2"/>
  </si>
  <si>
    <t>■確認結果まとめ</t>
    <rPh sb="1" eb="3">
      <t>カクニン</t>
    </rPh>
    <rPh sb="3" eb="5">
      <t>ケッカ</t>
    </rPh>
    <phoneticPr fontId="2"/>
  </si>
  <si>
    <t>合計</t>
    <rPh sb="0" eb="2">
      <t>ゴウケイ</t>
    </rPh>
    <phoneticPr fontId="2"/>
  </si>
  <si>
    <t>項番などを拾っておく</t>
    <rPh sb="0" eb="1">
      <t>コウ</t>
    </rPh>
    <rPh sb="1" eb="2">
      <t>バン</t>
    </rPh>
    <rPh sb="5" eb="6">
      <t>ヒロ</t>
    </rPh>
    <phoneticPr fontId="2"/>
  </si>
  <si>
    <t>C:\Coffer\svn_PTM\trunk\03_管理\30_ツール\test\ST2</t>
    <phoneticPr fontId="2"/>
  </si>
  <si>
    <t>C:\Coffer\svn_PTM\trunk\03_管理\30_ツール\test\TF2次プロト2ndシステム試験項目書-17650_○.xlsx</t>
    <phoneticPr fontId="2"/>
  </si>
  <si>
    <t>コマンドプロンプトを非表示にする。</t>
    <rPh sb="10" eb="13">
      <t>ヒヒョウジ</t>
    </rPh>
    <phoneticPr fontId="2"/>
  </si>
  <si>
    <t>機能追加</t>
    <rPh sb="0" eb="2">
      <t>キノウ</t>
    </rPh>
    <rPh sb="2" eb="4">
      <t>ツイカ</t>
    </rPh>
    <phoneticPr fontId="2"/>
  </si>
  <si>
    <t>①</t>
    <phoneticPr fontId="2"/>
  </si>
  <si>
    <t>フォルダ単位でのログ過不足チェック機能</t>
    <rPh sb="4" eb="6">
      <t>タンイ</t>
    </rPh>
    <rPh sb="10" eb="13">
      <t>カブソク</t>
    </rPh>
    <rPh sb="17" eb="19">
      <t>キノウ</t>
    </rPh>
    <phoneticPr fontId="2"/>
  </si>
  <si>
    <t>②</t>
    <phoneticPr fontId="2"/>
  </si>
  <si>
    <t>-</t>
    <phoneticPr fontId="2"/>
  </si>
  <si>
    <t>C:\Coffer\svn_PTM\trunk\03_管理\30_ツール\test\TF2次プロト2nd単体試験項目書_02_診断モニタ変更_dgMonCanLocalComErr-16686_○.xls</t>
    <phoneticPr fontId="2"/>
  </si>
  <si>
    <t>C:\Coffer\svn_PTM\trunk\03_管理\30_ツール\test\TF2次プロト2ndシステム試験項目書-17650_○○.xlsx</t>
    <phoneticPr fontId="2"/>
  </si>
  <si>
    <t>C:\Coffer\svn_PTM\trunk\03_管理\30_ツール\test\ST3</t>
    <phoneticPr fontId="2"/>
  </si>
  <si>
    <t>案件名</t>
    <rPh sb="0" eb="2">
      <t>アンケン</t>
    </rPh>
    <rPh sb="2" eb="3">
      <t>メイ</t>
    </rPh>
    <phoneticPr fontId="2"/>
  </si>
  <si>
    <t>-</t>
    <phoneticPr fontId="2"/>
  </si>
  <si>
    <t>04_起動終了シーケンス変更</t>
  </si>
  <si>
    <t>01_診断マネージャ</t>
  </si>
  <si>
    <t>06_CANメッセージ変更</t>
  </si>
  <si>
    <t>C:\Coffer\svn_PTM\trunk\03_管理\30_ツール\test\UT</t>
    <phoneticPr fontId="2"/>
  </si>
  <si>
    <t>C:\Coffer\svn_PTM\trunk\03_管理\30_ツール\test\UT2</t>
    <phoneticPr fontId="2"/>
  </si>
  <si>
    <t>C:\Coffer\svn_PTM\trunk\03_管理\30_ツール\test\CT</t>
    <phoneticPr fontId="2"/>
  </si>
  <si>
    <t>C:\Coffer\svn_PTM\trunk\03_管理\30_ツール\test\FT</t>
    <phoneticPr fontId="2"/>
  </si>
  <si>
    <t>Key ： 項目書名\ソースファイル名\関数名\csv ファイル名</t>
    <rPh sb="6" eb="8">
      <t>コウモク</t>
    </rPh>
    <rPh sb="8" eb="10">
      <t>ショメイ</t>
    </rPh>
    <rPh sb="32" eb="33">
      <t>メイ</t>
    </rPh>
    <phoneticPr fontId="2"/>
  </si>
  <si>
    <t>Key ： 項目書名\ソースファイル名\関数名\テスト報告書.htm</t>
    <rPh sb="18" eb="19">
      <t>メイ</t>
    </rPh>
    <rPh sb="20" eb="22">
      <t>カンスウ</t>
    </rPh>
    <rPh sb="22" eb="23">
      <t>メイ</t>
    </rPh>
    <rPh sb="27" eb="30">
      <t>ホウコクショ</t>
    </rPh>
    <phoneticPr fontId="2"/>
  </si>
  <si>
    <t>Key ： 項目書名\シート名\テストログファイル名</t>
    <rPh sb="14" eb="15">
      <t>メイ</t>
    </rPh>
    <rPh sb="25" eb="26">
      <t>メイ</t>
    </rPh>
    <phoneticPr fontId="2"/>
  </si>
  <si>
    <t>リリースノート</t>
    <phoneticPr fontId="24"/>
  </si>
  <si>
    <t>日付</t>
    <rPh sb="0" eb="2">
      <t>ヒヅケ</t>
    </rPh>
    <phoneticPr fontId="24"/>
  </si>
  <si>
    <t>バージョン</t>
    <phoneticPr fontId="24"/>
  </si>
  <si>
    <t>担当</t>
    <rPh sb="0" eb="2">
      <t>タントウ</t>
    </rPh>
    <phoneticPr fontId="24"/>
  </si>
  <si>
    <t>変更点</t>
    <rPh sb="0" eb="3">
      <t>ヘンコウテン</t>
    </rPh>
    <phoneticPr fontId="24"/>
  </si>
  <si>
    <t>1.0.0</t>
    <phoneticPr fontId="24"/>
  </si>
  <si>
    <t>遠藤</t>
    <rPh sb="0" eb="2">
      <t>エンドウ</t>
    </rPh>
    <phoneticPr fontId="24"/>
  </si>
  <si>
    <t>・初版作成</t>
    <rPh sb="1" eb="3">
      <t>ショハン</t>
    </rPh>
    <rPh sb="3" eb="5">
      <t>サクセイ</t>
    </rPh>
    <phoneticPr fontId="24"/>
  </si>
  <si>
    <t>&lt;&lt;単体試験&gt;&gt;</t>
    <rPh sb="2" eb="4">
      <t>タンタイ</t>
    </rPh>
    <rPh sb="4" eb="6">
      <t>シケン</t>
    </rPh>
    <phoneticPr fontId="2"/>
  </si>
  <si>
    <t>・[関数名]_[項番].csv</t>
    <rPh sb="2" eb="5">
      <t>カンスウメイ</t>
    </rPh>
    <rPh sb="8" eb="9">
      <t>コウ</t>
    </rPh>
    <rPh sb="9" eb="10">
      <t>バン</t>
    </rPh>
    <phoneticPr fontId="2"/>
  </si>
  <si>
    <t>・テスト結果報告書.htm</t>
    <phoneticPr fontId="2"/>
  </si>
  <si>
    <t>・[関数名].txt</t>
    <rPh sb="2" eb="5">
      <t>カンスウメイ</t>
    </rPh>
    <phoneticPr fontId="2"/>
  </si>
  <si>
    <t>&lt;&lt;結合試験&gt;&gt;</t>
    <rPh sb="2" eb="4">
      <t>ケツゴウ</t>
    </rPh>
    <rPh sb="4" eb="6">
      <t>シケン</t>
    </rPh>
    <phoneticPr fontId="2"/>
  </si>
  <si>
    <t>&lt;&lt;機能試験&gt;&gt;</t>
    <rPh sb="2" eb="4">
      <t>キノウ</t>
    </rPh>
    <rPh sb="4" eb="6">
      <t>シケン</t>
    </rPh>
    <phoneticPr fontId="2"/>
  </si>
  <si>
    <t>&lt;&lt;システム試験&gt;&gt;</t>
    <rPh sb="6" eb="8">
      <t>シケン</t>
    </rPh>
    <phoneticPr fontId="2"/>
  </si>
  <si>
    <t>・[項番].[拡張子] (※)</t>
    <rPh sb="2" eb="3">
      <t>コウ</t>
    </rPh>
    <rPh sb="3" eb="4">
      <t>バン</t>
    </rPh>
    <rPh sb="7" eb="10">
      <t>カクチョウシ</t>
    </rPh>
    <phoneticPr fontId="2"/>
  </si>
  <si>
    <t>&lt;&lt;結合、機能、システム試験&gt;&gt;</t>
    <rPh sb="2" eb="4">
      <t>ケツゴウ</t>
    </rPh>
    <rPh sb="5" eb="7">
      <t>キノウ</t>
    </rPh>
    <rPh sb="12" eb="14">
      <t>シケン</t>
    </rPh>
    <phoneticPr fontId="2"/>
  </si>
  <si>
    <t>また、ログファイルは１項目に対して複数のログファイルが必要であり、項番とファイル名が完全に一致するとは限らない。</t>
    <rPh sb="11" eb="13">
      <t>コウモク</t>
    </rPh>
    <rPh sb="14" eb="15">
      <t>タイ</t>
    </rPh>
    <rPh sb="17" eb="19">
      <t>フクスウ</t>
    </rPh>
    <rPh sb="27" eb="29">
      <t>ヒツヨウ</t>
    </rPh>
    <rPh sb="33" eb="34">
      <t>コウ</t>
    </rPh>
    <rPh sb="34" eb="35">
      <t>バン</t>
    </rPh>
    <rPh sb="40" eb="41">
      <t>メイ</t>
    </rPh>
    <rPh sb="42" eb="44">
      <t>カンゼン</t>
    </rPh>
    <rPh sb="45" eb="47">
      <t>イッチ</t>
    </rPh>
    <rPh sb="51" eb="52">
      <t>カギ</t>
    </rPh>
    <phoneticPr fontId="2"/>
  </si>
  <si>
    <t>-項番-</t>
    <rPh sb="1" eb="2">
      <t>コウ</t>
    </rPh>
    <rPh sb="2" eb="3">
      <t>バン</t>
    </rPh>
    <phoneticPr fontId="2"/>
  </si>
  <si>
    <t>TF22_ST_02_PON_001.txt</t>
    <phoneticPr fontId="2"/>
  </si>
  <si>
    <t>-試験ログファイル名-</t>
    <rPh sb="1" eb="3">
      <t>シケン</t>
    </rPh>
    <rPh sb="9" eb="10">
      <t>メイ</t>
    </rPh>
    <phoneticPr fontId="2"/>
  </si>
  <si>
    <t>例１）</t>
    <rPh sb="0" eb="1">
      <t>レイ</t>
    </rPh>
    <phoneticPr fontId="2"/>
  </si>
  <si>
    <t>例２）</t>
    <rPh sb="0" eb="1">
      <t>レイ</t>
    </rPh>
    <phoneticPr fontId="2"/>
  </si>
  <si>
    <t>例３）</t>
    <rPh sb="0" eb="1">
      <t>レイ</t>
    </rPh>
    <phoneticPr fontId="2"/>
  </si>
  <si>
    <t>TF22_ST_02_PON_001.txt</t>
    <phoneticPr fontId="2"/>
  </si>
  <si>
    <t>TF22_ST_02_PON_01.txt</t>
    <phoneticPr fontId="2"/>
  </si>
  <si>
    <t>TF22_ST_02_PON_001_オシロ_3v.png</t>
    <phoneticPr fontId="2"/>
  </si>
  <si>
    <t>→ 「項番」の文字列と完全一致のため、OK！</t>
    <rPh sb="3" eb="4">
      <t>コウ</t>
    </rPh>
    <rPh sb="4" eb="5">
      <t>バン</t>
    </rPh>
    <rPh sb="7" eb="10">
      <t>モジレツ</t>
    </rPh>
    <rPh sb="11" eb="13">
      <t>カンゼン</t>
    </rPh>
    <rPh sb="13" eb="15">
      <t>イッチ</t>
    </rPh>
    <phoneticPr fontId="2"/>
  </si>
  <si>
    <t>→ ０が足りないため、NG！</t>
    <rPh sb="4" eb="5">
      <t>タ</t>
    </rPh>
    <phoneticPr fontId="2"/>
  </si>
  <si>
    <t>→ 「項番」の文字列が漏れなく入っているため、OK！</t>
    <rPh sb="3" eb="4">
      <t>コウ</t>
    </rPh>
    <rPh sb="4" eb="5">
      <t>バン</t>
    </rPh>
    <rPh sb="7" eb="10">
      <t>モジレツ</t>
    </rPh>
    <rPh sb="11" eb="12">
      <t>モ</t>
    </rPh>
    <rPh sb="15" eb="16">
      <t>ハイ</t>
    </rPh>
    <phoneticPr fontId="2"/>
  </si>
  <si>
    <t>・結合、機能、システム試験のログは、上記規則を反していても Warning のみとする。（補足ファイルを置くことを考慮）</t>
    <rPh sb="18" eb="20">
      <t>ジョウキ</t>
    </rPh>
    <rPh sb="20" eb="22">
      <t>キソク</t>
    </rPh>
    <rPh sb="23" eb="24">
      <t>ハン</t>
    </rPh>
    <phoneticPr fontId="2"/>
  </si>
  <si>
    <t>そのため、「項番の文字列が全て入っているか」のみをチェックし、余分な文字が入っていても無視する。</t>
    <rPh sb="31" eb="33">
      <t>ヨブン</t>
    </rPh>
    <rPh sb="34" eb="36">
      <t>モジ</t>
    </rPh>
    <rPh sb="37" eb="38">
      <t>ハイ</t>
    </rPh>
    <rPh sb="43" eb="45">
      <t>ムシ</t>
    </rPh>
    <phoneticPr fontId="2"/>
  </si>
  <si>
    <t>(※) 結合、機能、システム試験ログについて</t>
    <rPh sb="4" eb="6">
      <t>ケツゴウ</t>
    </rPh>
    <rPh sb="7" eb="9">
      <t>キノウ</t>
    </rPh>
    <rPh sb="14" eb="16">
      <t>シケン</t>
    </rPh>
    <phoneticPr fontId="2"/>
  </si>
  <si>
    <t>├ [関数名]_[項番].csv</t>
    <rPh sb="3" eb="6">
      <t>カンスウメイ</t>
    </rPh>
    <rPh sb="9" eb="10">
      <t>コウ</t>
    </rPh>
    <rPh sb="10" eb="11">
      <t>バン</t>
    </rPh>
    <phoneticPr fontId="2"/>
  </si>
  <si>
    <t>├ テスト結果報告書.htm</t>
  </si>
  <si>
    <t>├ テスト結果報告書.htm</t>
    <phoneticPr fontId="2"/>
  </si>
  <si>
    <t>└ TestCoverLog</t>
  </si>
  <si>
    <t>└ [ソースファイル名（拡張子あり）]</t>
    <rPh sb="10" eb="11">
      <t>メイ</t>
    </rPh>
    <phoneticPr fontId="2"/>
  </si>
  <si>
    <t>└ [関数名].txt</t>
    <rPh sb="3" eb="6">
      <t>カンスウメイ</t>
    </rPh>
    <phoneticPr fontId="2"/>
  </si>
  <si>
    <t>└ [関数名]</t>
    <rPh sb="3" eb="6">
      <t>カンスウメイ</t>
    </rPh>
    <phoneticPr fontId="2"/>
  </si>
  <si>
    <t>└ [ソースファイル名（拡張子なし）]</t>
    <rPh sb="10" eb="11">
      <t>メイ</t>
    </rPh>
    <rPh sb="12" eb="15">
      <t>カクチョウシ</t>
    </rPh>
    <phoneticPr fontId="2"/>
  </si>
  <si>
    <t>└ [項目書ファイル名（拡張子なし）]</t>
    <rPh sb="3" eb="5">
      <t>コウモク</t>
    </rPh>
    <rPh sb="5" eb="6">
      <t>ショ</t>
    </rPh>
    <rPh sb="10" eb="11">
      <t>メイ</t>
    </rPh>
    <phoneticPr fontId="2"/>
  </si>
  <si>
    <t>└ [案件名]</t>
    <rPh sb="3" eb="5">
      <t>アンケン</t>
    </rPh>
    <rPh sb="5" eb="6">
      <t>メイ</t>
    </rPh>
    <phoneticPr fontId="2"/>
  </si>
  <si>
    <t>└ [シート名]</t>
    <rPh sb="6" eb="7">
      <t>メイ</t>
    </rPh>
    <phoneticPr fontId="2"/>
  </si>
  <si>
    <t>└ [項番].[拡張子]</t>
    <rPh sb="3" eb="4">
      <t>コウ</t>
    </rPh>
    <rPh sb="4" eb="5">
      <t>バン</t>
    </rPh>
    <rPh sb="8" eb="11">
      <t>カクチョウシ</t>
    </rPh>
    <phoneticPr fontId="2"/>
  </si>
  <si>
    <t>試験項目書内の「試験データ欄」に記載のないログファイルが格納されていないかを確認する。</t>
    <rPh sb="0" eb="2">
      <t>シケン</t>
    </rPh>
    <rPh sb="2" eb="4">
      <t>コウモク</t>
    </rPh>
    <rPh sb="4" eb="5">
      <t>ショ</t>
    </rPh>
    <rPh sb="5" eb="6">
      <t>ナイ</t>
    </rPh>
    <rPh sb="8" eb="10">
      <t>シケン</t>
    </rPh>
    <rPh sb="13" eb="14">
      <t>ラン</t>
    </rPh>
    <rPh sb="16" eb="18">
      <t>キサイ</t>
    </rPh>
    <rPh sb="28" eb="30">
      <t>カクノウ</t>
    </rPh>
    <rPh sb="38" eb="40">
      <t>カクニン</t>
    </rPh>
    <phoneticPr fontId="2"/>
  </si>
  <si>
    <t>■概要</t>
    <rPh sb="1" eb="3">
      <t>ガイヨウ</t>
    </rPh>
    <phoneticPr fontId="2"/>
  </si>
  <si>
    <t>■チェック内容詳細</t>
    <rPh sb="5" eb="7">
      <t>ナイヨウ</t>
    </rPh>
    <rPh sb="7" eb="9">
      <t>ショウサイ</t>
    </rPh>
    <phoneticPr fontId="2"/>
  </si>
  <si>
    <t>試験項目書内の「試験データ欄」に記載されているログファイル名が命名規則に則っているかチェックする。</t>
    <rPh sb="0" eb="2">
      <t>シケン</t>
    </rPh>
    <rPh sb="2" eb="4">
      <t>コウモク</t>
    </rPh>
    <rPh sb="4" eb="5">
      <t>ショ</t>
    </rPh>
    <rPh sb="5" eb="6">
      <t>ナイ</t>
    </rPh>
    <rPh sb="8" eb="10">
      <t>シケン</t>
    </rPh>
    <rPh sb="13" eb="14">
      <t>ラン</t>
    </rPh>
    <rPh sb="16" eb="18">
      <t>キサイ</t>
    </rPh>
    <rPh sb="29" eb="30">
      <t>メイ</t>
    </rPh>
    <rPh sb="31" eb="33">
      <t>メイメイ</t>
    </rPh>
    <rPh sb="33" eb="35">
      <t>キソク</t>
    </rPh>
    <phoneticPr fontId="2"/>
  </si>
  <si>
    <t>①</t>
    <phoneticPr fontId="2"/>
  </si>
  <si>
    <t>②</t>
    <phoneticPr fontId="2"/>
  </si>
  <si>
    <t>同シートの「チェック処理＆コミット実行！」ボタンを押下。</t>
    <rPh sb="0" eb="1">
      <t>ドウ</t>
    </rPh>
    <rPh sb="10" eb="12">
      <t>ショリ</t>
    </rPh>
    <rPh sb="17" eb="19">
      <t>ジッコウ</t>
    </rPh>
    <rPh sb="25" eb="27">
      <t>オウカ</t>
    </rPh>
    <phoneticPr fontId="2"/>
  </si>
  <si>
    <r>
      <t>以下のチェックを行う。（詳細なチェック内容は</t>
    </r>
    <r>
      <rPr>
        <u/>
        <sz val="11"/>
        <color theme="1"/>
        <rFont val="ＭＳ Ｐゴシック"/>
        <family val="3"/>
        <charset val="128"/>
        <scheme val="minor"/>
      </rPr>
      <t>「チェック内容詳細」シート</t>
    </r>
    <r>
      <rPr>
        <sz val="11"/>
        <color theme="1"/>
        <rFont val="ＭＳ Ｐゴシック"/>
        <family val="2"/>
        <scheme val="minor"/>
      </rPr>
      <t>参照）</t>
    </r>
    <rPh sb="0" eb="2">
      <t>イカ</t>
    </rPh>
    <rPh sb="8" eb="9">
      <t>オコナ</t>
    </rPh>
    <phoneticPr fontId="2"/>
  </si>
  <si>
    <t>31_単体試験ログ</t>
  </si>
  <si>
    <t>31_単体試験ログ</t>
    <phoneticPr fontId="2"/>
  </si>
  <si>
    <t>41_結合試験ログ</t>
  </si>
  <si>
    <t>41_結合試験ログ</t>
    <phoneticPr fontId="2"/>
  </si>
  <si>
    <t>51_機能試験ログ</t>
  </si>
  <si>
    <t>51_機能試験ログ</t>
    <phoneticPr fontId="2"/>
  </si>
  <si>
    <t>61_システム試験ログ</t>
  </si>
  <si>
    <t>61_システム試験ログ</t>
    <phoneticPr fontId="2"/>
  </si>
  <si>
    <t>③</t>
    <phoneticPr fontId="2"/>
  </si>
  <si>
    <r>
      <t>・項目が記載されているシート名に文字列</t>
    </r>
    <r>
      <rPr>
        <u/>
        <sz val="11"/>
        <color theme="1"/>
        <rFont val="ＭＳ Ｐゴシック"/>
        <family val="3"/>
        <charset val="128"/>
        <scheme val="minor"/>
      </rPr>
      <t>「試験項目」</t>
    </r>
    <r>
      <rPr>
        <sz val="11"/>
        <color theme="1"/>
        <rFont val="ＭＳ Ｐゴシック"/>
        <family val="2"/>
        <scheme val="minor"/>
      </rPr>
      <t>が付与されていることを確認する。</t>
    </r>
    <rPh sb="1" eb="3">
      <t>コウモク</t>
    </rPh>
    <rPh sb="4" eb="6">
      <t>キサイ</t>
    </rPh>
    <rPh sb="14" eb="15">
      <t>メイ</t>
    </rPh>
    <rPh sb="16" eb="19">
      <t>モジレツ</t>
    </rPh>
    <rPh sb="20" eb="22">
      <t>シケン</t>
    </rPh>
    <rPh sb="22" eb="24">
      <t>コウモク</t>
    </rPh>
    <rPh sb="26" eb="28">
      <t>フヨ</t>
    </rPh>
    <rPh sb="36" eb="38">
      <t>カクニン</t>
    </rPh>
    <phoneticPr fontId="2"/>
  </si>
  <si>
    <t>◇チェック内容詳細</t>
    <rPh sb="5" eb="7">
      <t>ナイヨウ</t>
    </rPh>
    <rPh sb="7" eb="9">
      <t>ショウサイ</t>
    </rPh>
    <phoneticPr fontId="2"/>
  </si>
  <si>
    <t>◇チェック内容イメージ</t>
    <rPh sb="5" eb="7">
      <t>ナイヨウ</t>
    </rPh>
    <phoneticPr fontId="2"/>
  </si>
  <si>
    <r>
      <t>・項目が記載されているシート内に</t>
    </r>
    <r>
      <rPr>
        <u/>
        <sz val="11"/>
        <color theme="1"/>
        <rFont val="ＭＳ Ｐゴシック"/>
        <family val="3"/>
        <charset val="128"/>
        <scheme val="minor"/>
      </rPr>
      <t>「項番」「試験データ」</t>
    </r>
    <r>
      <rPr>
        <sz val="11"/>
        <color theme="1"/>
        <rFont val="ＭＳ Ｐゴシック"/>
        <family val="2"/>
        <scheme val="minor"/>
      </rPr>
      <t>列が記載されていることを確認する。</t>
    </r>
    <rPh sb="14" eb="15">
      <t>ナイ</t>
    </rPh>
    <rPh sb="17" eb="18">
      <t>コウ</t>
    </rPh>
    <rPh sb="18" eb="19">
      <t>バン</t>
    </rPh>
    <rPh sb="21" eb="23">
      <t>シケン</t>
    </rPh>
    <rPh sb="27" eb="28">
      <t>レツ</t>
    </rPh>
    <rPh sb="29" eb="31">
      <t>キサイ</t>
    </rPh>
    <rPh sb="39" eb="41">
      <t>カクニン</t>
    </rPh>
    <phoneticPr fontId="2"/>
  </si>
  <si>
    <t>◇目的</t>
    <rPh sb="1" eb="3">
      <t>モクテキ</t>
    </rPh>
    <phoneticPr fontId="2"/>
  </si>
  <si>
    <t>◇機能概要</t>
    <rPh sb="1" eb="3">
      <t>キノウ</t>
    </rPh>
    <rPh sb="3" eb="5">
      <t>ガイヨウ</t>
    </rPh>
    <phoneticPr fontId="2"/>
  </si>
  <si>
    <t>◇手順</t>
    <rPh sb="1" eb="3">
      <t>テジュン</t>
    </rPh>
    <phoneticPr fontId="2"/>
  </si>
  <si>
    <t>◇困ったとき</t>
    <rPh sb="1" eb="2">
      <t>コマ</t>
    </rPh>
    <phoneticPr fontId="2"/>
  </si>
  <si>
    <t>・コミット時、以下のようなエラーが発生する場合がある。</t>
    <phoneticPr fontId="2"/>
  </si>
  <si>
    <t>ログファイル名チェック</t>
    <phoneticPr fontId="2"/>
  </si>
  <si>
    <t>試験項目書内の「試験データ欄」に記載されているログファイル名が命名規則に則っているかチェックする。命名規則は以下の通り。</t>
    <rPh sb="0" eb="2">
      <t>シケン</t>
    </rPh>
    <rPh sb="2" eb="4">
      <t>コウモク</t>
    </rPh>
    <rPh sb="4" eb="5">
      <t>ショ</t>
    </rPh>
    <rPh sb="5" eb="6">
      <t>ナイ</t>
    </rPh>
    <rPh sb="8" eb="10">
      <t>シケン</t>
    </rPh>
    <rPh sb="13" eb="14">
      <t>ラン</t>
    </rPh>
    <rPh sb="16" eb="18">
      <t>キサイ</t>
    </rPh>
    <rPh sb="29" eb="30">
      <t>メイ</t>
    </rPh>
    <rPh sb="31" eb="33">
      <t>メイメイ</t>
    </rPh>
    <rPh sb="33" eb="35">
      <t>キソク</t>
    </rPh>
    <phoneticPr fontId="2"/>
  </si>
  <si>
    <t>上記エラーが発生した場合、「C:\Coffer\svn_PTM\trunk\03_管理\30_ツール\test」を事前にコミットしておくこと。</t>
    <rPh sb="0" eb="2">
      <t>ジョウキ</t>
    </rPh>
    <rPh sb="6" eb="8">
      <t>ハッセイ</t>
    </rPh>
    <rPh sb="57" eb="59">
      <t>ジゼン</t>
    </rPh>
    <phoneticPr fontId="2"/>
  </si>
  <si>
    <t>コミット自動化機能</t>
    <rPh sb="3" eb="6">
      <t>ジドウカ</t>
    </rPh>
    <rPh sb="6" eb="8">
      <t>キノウ</t>
    </rPh>
    <phoneticPr fontId="2"/>
  </si>
  <si>
    <t>◇TODO</t>
    <phoneticPr fontId="2"/>
  </si>
  <si>
    <t>以下のチェック処理を行い、問題がなければログファイルと項目書を SVN に追加し、SVN のコミットダイアログを表示する。</t>
    <rPh sb="0" eb="2">
      <t>イカ</t>
    </rPh>
    <rPh sb="7" eb="9">
      <t>ショリ</t>
    </rPh>
    <rPh sb="10" eb="11">
      <t>オコナ</t>
    </rPh>
    <rPh sb="13" eb="15">
      <t>モンダイ</t>
    </rPh>
    <rPh sb="27" eb="29">
      <t>コウモク</t>
    </rPh>
    <rPh sb="29" eb="30">
      <t>ショ</t>
    </rPh>
    <rPh sb="37" eb="39">
      <t>ツイカ</t>
    </rPh>
    <rPh sb="56" eb="58">
      <t>ヒョウジ</t>
    </rPh>
    <phoneticPr fontId="2"/>
  </si>
  <si>
    <t>また(B)と（C)は、以下のフォルダ構造どおりに格納されている前提でチェックするため、</t>
    <rPh sb="11" eb="13">
      <t>イカ</t>
    </rPh>
    <rPh sb="18" eb="20">
      <t>コウゾウ</t>
    </rPh>
    <rPh sb="24" eb="26">
      <t>カクノウ</t>
    </rPh>
    <rPh sb="31" eb="33">
      <t>ゼンテイ</t>
    </rPh>
    <phoneticPr fontId="2"/>
  </si>
  <si>
    <t>フォルダ構成がルールどおりであることの確認も行える。</t>
    <rPh sb="4" eb="6">
      <t>コウセイ</t>
    </rPh>
    <rPh sb="19" eb="21">
      <t>カクニン</t>
    </rPh>
    <rPh sb="22" eb="23">
      <t>オコナ</t>
    </rPh>
    <phoneticPr fontId="2"/>
  </si>
  <si>
    <t>└ TestCoverLog</t>
    <phoneticPr fontId="2"/>
  </si>
  <si>
    <t>└ 02_診断モニタ変更</t>
  </si>
  <si>
    <t>└ TF2次プロト2nd単体試験項目書_02_診断モニタ変更_dgMonCanLocalComErr</t>
  </si>
  <si>
    <t>└ dgMonCanLocalComErr</t>
  </si>
  <si>
    <t>└ dgMonCanLocalComErrBcu170Main</t>
  </si>
  <si>
    <t>├ dgMonCanLocalComErrBcu170Main_1.csv</t>
  </si>
  <si>
    <t>└ dgMonCanLocalComErr.c</t>
  </si>
  <si>
    <t>└ dgMonCanLocalComErrBcu170Main.txt</t>
  </si>
  <si>
    <t>└ 04_起動終了シーケンス変更</t>
  </si>
  <si>
    <t>└ TF2次プロト2nd結合項目書_04_起動終了シーケンス変更</t>
  </si>
  <si>
    <t>└ 試験項目</t>
  </si>
  <si>
    <t>└ TF22_CT_04_002.png</t>
  </si>
  <si>
    <t>└ 01_診断マネージャ</t>
  </si>
  <si>
    <t>└ TF2次プロト2nd機能試験項目書_01_診断マネージャ(MNG)-17022</t>
  </si>
  <si>
    <t>└ 試験項目(11-1_4-3)</t>
  </si>
  <si>
    <t>└ TF22-01-11-1_4-3-001_after.png</t>
  </si>
  <si>
    <t>└ TF2次プロト2ndシステム試験項目書-17650</t>
  </si>
  <si>
    <t>└ 試験項目（起動シーケンス）</t>
  </si>
  <si>
    <t>└ TF22_ST_02_PON_001_オシロ_3v.png</t>
  </si>
  <si>
    <t>・試験項目書のフォルダ構成が統一されておらず、重複したログファイルが存在した。</t>
    <rPh sb="3" eb="5">
      <t>コウモク</t>
    </rPh>
    <rPh sb="5" eb="6">
      <t>ショ</t>
    </rPh>
    <rPh sb="11" eb="13">
      <t>コウセイ</t>
    </rPh>
    <rPh sb="14" eb="16">
      <t>トウイツ</t>
    </rPh>
    <rPh sb="23" eb="25">
      <t>チョウフク</t>
    </rPh>
    <rPh sb="34" eb="36">
      <t>ソンザイ</t>
    </rPh>
    <phoneticPr fontId="2"/>
  </si>
  <si>
    <t>試験ログファイルに関して以下のような問題があり、リリース前の試験ログチェックに時間を要した。</t>
    <rPh sb="0" eb="2">
      <t>シケン</t>
    </rPh>
    <rPh sb="9" eb="10">
      <t>カン</t>
    </rPh>
    <rPh sb="12" eb="14">
      <t>イカ</t>
    </rPh>
    <rPh sb="18" eb="20">
      <t>モンダイ</t>
    </rPh>
    <rPh sb="28" eb="29">
      <t>マエ</t>
    </rPh>
    <rPh sb="30" eb="32">
      <t>シケン</t>
    </rPh>
    <rPh sb="39" eb="41">
      <t>ジカン</t>
    </rPh>
    <rPh sb="42" eb="43">
      <t>ヨウ</t>
    </rPh>
    <phoneticPr fontId="2"/>
  </si>
  <si>
    <r>
      <t>そのため、</t>
    </r>
    <r>
      <rPr>
        <u/>
        <sz val="11"/>
        <color theme="1"/>
        <rFont val="ＭＳ Ｐゴシック"/>
        <family val="3"/>
        <charset val="128"/>
        <scheme val="minor"/>
      </rPr>
      <t>試験実施後の試験ログファイルコミット時点</t>
    </r>
    <r>
      <rPr>
        <sz val="11"/>
        <color theme="1"/>
        <rFont val="ＭＳ Ｐゴシック"/>
        <family val="2"/>
        <scheme val="minor"/>
      </rPr>
      <t>でログファイル名とフォルダ構成をチェックすることで</t>
    </r>
    <rPh sb="5" eb="7">
      <t>シケン</t>
    </rPh>
    <rPh sb="7" eb="10">
      <t>ジッシゴ</t>
    </rPh>
    <rPh sb="11" eb="13">
      <t>シケン</t>
    </rPh>
    <rPh sb="23" eb="25">
      <t>ジテン</t>
    </rPh>
    <rPh sb="32" eb="33">
      <t>メイ</t>
    </rPh>
    <rPh sb="38" eb="40">
      <t>コウセイ</t>
    </rPh>
    <phoneticPr fontId="2"/>
  </si>
  <si>
    <t>・試験項目書に記載のログファイルが存在しない。</t>
    <rPh sb="1" eb="3">
      <t>シケン</t>
    </rPh>
    <rPh sb="17" eb="19">
      <t>ソンザイ</t>
    </rPh>
    <phoneticPr fontId="2"/>
  </si>
  <si>
    <t>・試験項目書に未記載のログファイルが存在する。</t>
    <rPh sb="3" eb="5">
      <t>コウモク</t>
    </rPh>
    <rPh sb="5" eb="6">
      <t>ショ</t>
    </rPh>
    <rPh sb="7" eb="8">
      <t>ミ</t>
    </rPh>
    <rPh sb="8" eb="10">
      <t>キサイ</t>
    </rPh>
    <rPh sb="18" eb="20">
      <t>ソンザイ</t>
    </rPh>
    <phoneticPr fontId="2"/>
  </si>
  <si>
    <t>上記問題に対応する。また、チェックからコミットまでを自動化し、効率化を図る。</t>
    <rPh sb="0" eb="2">
      <t>ジョウキ</t>
    </rPh>
    <rPh sb="2" eb="4">
      <t>モンダイ</t>
    </rPh>
    <rPh sb="5" eb="7">
      <t>タイオウ</t>
    </rPh>
    <rPh sb="26" eb="28">
      <t>ジドウ</t>
    </rPh>
    <rPh sb="28" eb="29">
      <t>カ</t>
    </rPh>
    <rPh sb="31" eb="34">
      <t>コウリツカ</t>
    </rPh>
    <rPh sb="35" eb="36">
      <t>ハカ</t>
    </rPh>
    <phoneticPr fontId="2"/>
  </si>
  <si>
    <t>・試験ログファイルが適切なフォルダに格納されていることを確認する。</t>
    <rPh sb="1" eb="3">
      <t>シケン</t>
    </rPh>
    <rPh sb="10" eb="12">
      <t>テキセツ</t>
    </rPh>
    <rPh sb="18" eb="20">
      <t>カクノウ</t>
    </rPh>
    <rPh sb="28" eb="30">
      <t>カクニン</t>
    </rPh>
    <phoneticPr fontId="2"/>
  </si>
  <si>
    <t>【フォルダ構成】</t>
    <phoneticPr fontId="2"/>
  </si>
  <si>
    <t>（フォルダ構成は「チェック内容詳細」シートの【フォルダ構成】参照）</t>
    <rPh sb="5" eb="7">
      <t>コウセイ</t>
    </rPh>
    <rPh sb="13" eb="15">
      <t>ナイヨウ</t>
    </rPh>
    <rPh sb="15" eb="17">
      <t>ショウサイ</t>
    </rPh>
    <rPh sb="30" eb="32">
      <t>サンショウ</t>
    </rPh>
    <phoneticPr fontId="2"/>
  </si>
  <si>
    <t>(A) ログファイル名チェック</t>
    <phoneticPr fontId="2"/>
  </si>
  <si>
    <t>以下のように案件名＝案件IDとならないものは、ツールでは判別しきれないため。</t>
    <rPh sb="0" eb="2">
      <t>イカ</t>
    </rPh>
    <rPh sb="6" eb="8">
      <t>アンケン</t>
    </rPh>
    <rPh sb="8" eb="9">
      <t>メイ</t>
    </rPh>
    <rPh sb="10" eb="12">
      <t>アンケン</t>
    </rPh>
    <rPh sb="28" eb="30">
      <t>ハンベツ</t>
    </rPh>
    <phoneticPr fontId="2"/>
  </si>
  <si>
    <t>項目書の項番欄にEXCELの数式で組み込めば項番の記入が自動化でき、</t>
    <rPh sb="0" eb="2">
      <t>コウモク</t>
    </rPh>
    <rPh sb="2" eb="3">
      <t>ショ</t>
    </rPh>
    <rPh sb="4" eb="5">
      <t>コウ</t>
    </rPh>
    <rPh sb="5" eb="6">
      <t>バン</t>
    </rPh>
    <rPh sb="6" eb="7">
      <t>ラン</t>
    </rPh>
    <rPh sb="14" eb="16">
      <t>スウシキ</t>
    </rPh>
    <rPh sb="17" eb="18">
      <t>ク</t>
    </rPh>
    <rPh sb="19" eb="20">
      <t>コ</t>
    </rPh>
    <rPh sb="22" eb="23">
      <t>コウ</t>
    </rPh>
    <rPh sb="23" eb="24">
      <t>バン</t>
    </rPh>
    <rPh sb="25" eb="27">
      <t>キニュウ</t>
    </rPh>
    <rPh sb="28" eb="31">
      <t>ジドウカ</t>
    </rPh>
    <phoneticPr fontId="2"/>
  </si>
  <si>
    <t>◇コミット自動化機能</t>
    <rPh sb="5" eb="7">
      <t>ジドウ</t>
    </rPh>
    <rPh sb="7" eb="8">
      <t>カ</t>
    </rPh>
    <rPh sb="8" eb="10">
      <t>キノウ</t>
    </rPh>
    <phoneticPr fontId="2"/>
  </si>
  <si>
    <t>■データ入力</t>
    <phoneticPr fontId="2"/>
  </si>
  <si>
    <t>「データ入力」シートに各情報を記載。</t>
    <rPh sb="11" eb="14">
      <t>カクジョウホウ</t>
    </rPh>
    <rPh sb="15" eb="17">
      <t>キサイ</t>
    </rPh>
    <phoneticPr fontId="2"/>
  </si>
  <si>
    <t>（ディレクトリ構造がルールどおりであることの確認も行う）</t>
    <rPh sb="6" eb="8">
      <t>コウゾウ</t>
    </rPh>
    <rPh sb="22" eb="24">
      <t>カクニン</t>
    </rPh>
    <rPh sb="25" eb="26">
      <t>オコナ</t>
    </rPh>
    <phoneticPr fontId="2"/>
  </si>
  <si>
    <t>試験項目書内の「試験データ欄」記載の試験ログファイルがログファイル格納先に存在することを確認する。</t>
    <rPh sb="15" eb="17">
      <t>キサイ</t>
    </rPh>
    <rPh sb="18" eb="20">
      <t>シケン</t>
    </rPh>
    <rPh sb="33" eb="35">
      <t>カクノウ</t>
    </rPh>
    <rPh sb="35" eb="36">
      <t>サキ</t>
    </rPh>
    <rPh sb="37" eb="39">
      <t>ソンザイ</t>
    </rPh>
    <rPh sb="44" eb="46">
      <t>カクニン</t>
    </rPh>
    <phoneticPr fontId="2"/>
  </si>
  <si>
    <r>
      <t>・結合・機能・システム試験項目書内の項番欄には</t>
    </r>
    <r>
      <rPr>
        <u/>
        <sz val="11"/>
        <color theme="1"/>
        <rFont val="ＭＳ Ｐゴシック"/>
        <family val="3"/>
        <charset val="128"/>
        <scheme val="minor"/>
      </rPr>
      <t>「番号」ではなく「ログファイル名と一致する項目番号名」</t>
    </r>
    <r>
      <rPr>
        <sz val="11"/>
        <color theme="1"/>
        <rFont val="ＭＳ Ｐゴシック"/>
        <family val="2"/>
        <scheme val="minor"/>
      </rPr>
      <t>が</t>
    </r>
    <rPh sb="11" eb="13">
      <t>シケン</t>
    </rPh>
    <rPh sb="13" eb="15">
      <t>コウモク</t>
    </rPh>
    <rPh sb="15" eb="16">
      <t>ショ</t>
    </rPh>
    <rPh sb="16" eb="17">
      <t>ナイ</t>
    </rPh>
    <rPh sb="18" eb="19">
      <t>コウ</t>
    </rPh>
    <rPh sb="19" eb="20">
      <t>バン</t>
    </rPh>
    <rPh sb="20" eb="21">
      <t>ラン</t>
    </rPh>
    <rPh sb="24" eb="26">
      <t>バンゴウ</t>
    </rPh>
    <rPh sb="38" eb="39">
      <t>メイ</t>
    </rPh>
    <rPh sb="40" eb="42">
      <t>イッチ</t>
    </rPh>
    <rPh sb="44" eb="46">
      <t>コウモク</t>
    </rPh>
    <rPh sb="46" eb="48">
      <t>バンゴウ</t>
    </rPh>
    <rPh sb="48" eb="49">
      <t>メイ</t>
    </rPh>
    <phoneticPr fontId="2"/>
  </si>
  <si>
    <t>★</t>
    <phoneticPr fontId="2"/>
  </si>
  <si>
    <t>本番フォルダでやってみる。</t>
    <rPh sb="0" eb="2">
      <t>ホンバン</t>
    </rPh>
    <phoneticPr fontId="2"/>
  </si>
  <si>
    <t>期待ファイルパスリスト（記載テストデータのみ）</t>
    <rPh sb="0" eb="2">
      <t>キタイ</t>
    </rPh>
    <phoneticPr fontId="2"/>
  </si>
  <si>
    <t>★</t>
    <phoneticPr fontId="2"/>
  </si>
  <si>
    <t>チェック処理内のテキストファイルはエラーじゃなくてOKとする！</t>
    <rPh sb="4" eb="6">
      <t>ショリ</t>
    </rPh>
    <rPh sb="6" eb="7">
      <t>ナイ</t>
    </rPh>
    <phoneticPr fontId="2"/>
  </si>
  <si>
    <t>その代わり、試験対象関数のファイルは一個はあるよね？を確認する！</t>
    <rPh sb="2" eb="3">
      <t>カ</t>
    </rPh>
    <rPh sb="6" eb="8">
      <t>シケン</t>
    </rPh>
    <rPh sb="8" eb="10">
      <t>タイショウ</t>
    </rPh>
    <rPh sb="10" eb="12">
      <t>カンスウ</t>
    </rPh>
    <rPh sb="18" eb="20">
      <t>イッコ</t>
    </rPh>
    <rPh sb="27" eb="29">
      <t>カクニン</t>
    </rPh>
    <phoneticPr fontId="2"/>
  </si>
  <si>
    <t>├ [関数名]_[項番].csv</t>
    <rPh sb="3" eb="5">
      <t>カンスウ</t>
    </rPh>
    <rPh sb="5" eb="6">
      <t>ナ</t>
    </rPh>
    <rPh sb="9" eb="10">
      <t>コウ</t>
    </rPh>
    <rPh sb="10" eb="11">
      <t>バン</t>
    </rPh>
    <phoneticPr fontId="2"/>
  </si>
  <si>
    <t>└ [関数名]</t>
    <rPh sb="3" eb="5">
      <t>カンスウ</t>
    </rPh>
    <rPh sb="5" eb="6">
      <t>メイ</t>
    </rPh>
    <phoneticPr fontId="2"/>
  </si>
  <si>
    <t>★</t>
    <phoneticPr fontId="2"/>
  </si>
  <si>
    <t>フォルダ構成見直し</t>
    <rPh sb="4" eb="6">
      <t>コウセイ</t>
    </rPh>
    <rPh sb="6" eb="8">
      <t>ミナオ</t>
    </rPh>
    <phoneticPr fontId="2"/>
  </si>
  <si>
    <t>→</t>
    <phoneticPr fontId="2"/>
  </si>
  <si>
    <r>
      <t xml:space="preserve">├ </t>
    </r>
    <r>
      <rPr>
        <sz val="11"/>
        <color rgb="FFFF0000"/>
        <rFont val="ＭＳ Ｐゴシック"/>
        <family val="3"/>
        <charset val="128"/>
        <scheme val="minor"/>
      </rPr>
      <t>[シート名]</t>
    </r>
    <r>
      <rPr>
        <sz val="11"/>
        <color theme="1"/>
        <rFont val="ＭＳ Ｐゴシック"/>
        <family val="2"/>
        <scheme val="minor"/>
      </rPr>
      <t>_[項番].csv</t>
    </r>
    <rPh sb="6" eb="7">
      <t>メイ</t>
    </rPh>
    <rPh sb="10" eb="11">
      <t>コウ</t>
    </rPh>
    <rPh sb="11" eb="12">
      <t>バン</t>
    </rPh>
    <phoneticPr fontId="2"/>
  </si>
  <si>
    <t>[関数名]フォルダ削除</t>
    <rPh sb="1" eb="3">
      <t>カンスウ</t>
    </rPh>
    <rPh sb="3" eb="4">
      <t>メイ</t>
    </rPh>
    <rPh sb="9" eb="11">
      <t>サクジョ</t>
    </rPh>
    <phoneticPr fontId="2"/>
  </si>
  <si>
    <t>[ソースファイル名（拡張子なし）] → [シート名] 名称変更</t>
    <rPh sb="24" eb="25">
      <t>メイ</t>
    </rPh>
    <rPh sb="27" eb="29">
      <t>メイショウ</t>
    </rPh>
    <rPh sb="29" eb="31">
      <t>ヘンコウ</t>
    </rPh>
    <phoneticPr fontId="2"/>
  </si>
  <si>
    <t>[関数名]_[項番].csv → [シート名]_[項番].csv 名称変更</t>
    <rPh sb="33" eb="35">
      <t>メイショウ</t>
    </rPh>
    <rPh sb="35" eb="37">
      <t>ヘンコウ</t>
    </rPh>
    <phoneticPr fontId="2"/>
  </si>
  <si>
    <r>
      <t>単体試験は</t>
    </r>
    <r>
      <rPr>
        <b/>
        <sz val="11"/>
        <color rgb="FFFF0000"/>
        <rFont val="ＭＳ Ｐゴシック"/>
        <family val="3"/>
        <charset val="128"/>
        <scheme val="minor"/>
      </rPr>
      <t>「シート単位でカバレッジマスターをかけること！」</t>
    </r>
    <r>
      <rPr>
        <sz val="11"/>
        <color theme="1"/>
        <rFont val="ＭＳ Ｐゴシック"/>
        <family val="2"/>
        <scheme val="minor"/>
      </rPr>
      <t>のルールを追加！</t>
    </r>
    <rPh sb="0" eb="2">
      <t>タンタイ</t>
    </rPh>
    <rPh sb="2" eb="4">
      <t>シケン</t>
    </rPh>
    <rPh sb="9" eb="11">
      <t>タンイ</t>
    </rPh>
    <rPh sb="34" eb="36">
      <t>ツイカ</t>
    </rPh>
    <phoneticPr fontId="2"/>
  </si>
  <si>
    <t>一回カバレッジ結果はシート名毎にフォルダを分けておく！</t>
    <rPh sb="0" eb="2">
      <t>イッカイ</t>
    </rPh>
    <rPh sb="7" eb="9">
      <t>ケッカ</t>
    </rPh>
    <rPh sb="13" eb="14">
      <t>メイ</t>
    </rPh>
    <rPh sb="14" eb="15">
      <t>ゴト</t>
    </rPh>
    <rPh sb="21" eb="22">
      <t>ワ</t>
    </rPh>
    <phoneticPr fontId="2"/>
  </si>
  <si>
    <t>フォルダリスト作成。</t>
    <rPh sb="7" eb="9">
      <t>サクセイ</t>
    </rPh>
    <phoneticPr fontId="2"/>
  </si>
  <si>
    <t>本ファイルから転用。</t>
    <rPh sb="0" eb="1">
      <t>ホン</t>
    </rPh>
    <rPh sb="7" eb="9">
      <t>テンヨウ</t>
    </rPh>
    <phoneticPr fontId="2"/>
  </si>
  <si>
    <t>「本フォルダ配下にあるCSV・TXT・HTM以外のファイルを全削除.vbs」を作成。</t>
    <rPh sb="1" eb="2">
      <t>ホン</t>
    </rPh>
    <rPh sb="6" eb="8">
      <t>ハイカ</t>
    </rPh>
    <rPh sb="22" eb="24">
      <t>イガイ</t>
    </rPh>
    <rPh sb="30" eb="31">
      <t>ゼン</t>
    </rPh>
    <rPh sb="31" eb="33">
      <t>サクジョ</t>
    </rPh>
    <rPh sb="39" eb="41">
      <t>サクセイ</t>
    </rPh>
    <phoneticPr fontId="2"/>
  </si>
  <si>
    <t>フォルダリスト内のファイルを削除。</t>
    <rPh sb="7" eb="8">
      <t>ナイ</t>
    </rPh>
    <rPh sb="14" eb="16">
      <t>サクジョ</t>
    </rPh>
    <phoneticPr fontId="2"/>
  </si>
  <si>
    <t>削除する処理</t>
    <rPh sb="0" eb="2">
      <t>サクジョ</t>
    </rPh>
    <rPh sb="4" eb="6">
      <t>ショリ</t>
    </rPh>
    <phoneticPr fontId="2"/>
  </si>
  <si>
    <t>→バッチにする？</t>
    <phoneticPr fontId="2"/>
  </si>
  <si>
    <t>→不要！試験対象関数のファイルがあることは、(A)＋(B)のチェックで満たされる！</t>
    <rPh sb="1" eb="3">
      <t>フヨウ</t>
    </rPh>
    <rPh sb="4" eb="6">
      <t>シケン</t>
    </rPh>
    <rPh sb="6" eb="8">
      <t>タイショウ</t>
    </rPh>
    <rPh sb="8" eb="10">
      <t>カンスウ</t>
    </rPh>
    <rPh sb="35" eb="36">
      <t>ミ</t>
    </rPh>
    <phoneticPr fontId="2"/>
  </si>
  <si>
    <t>単体試験のフォルダ構成を変更する機能</t>
    <rPh sb="0" eb="2">
      <t>タンタイ</t>
    </rPh>
    <rPh sb="2" eb="4">
      <t>シケン</t>
    </rPh>
    <rPh sb="9" eb="11">
      <t>コウセイ</t>
    </rPh>
    <rPh sb="12" eb="14">
      <t>ヘンコウ</t>
    </rPh>
    <rPh sb="16" eb="18">
      <t>キノウ</t>
    </rPh>
    <phoneticPr fontId="2"/>
  </si>
  <si>
    <t>③</t>
    <phoneticPr fontId="2"/>
  </si>
  <si>
    <t>④</t>
    <phoneticPr fontId="2"/>
  </si>
  <si>
    <t>結合/機能/システム試験のデータ欄を埋める機能。</t>
    <rPh sb="0" eb="2">
      <t>ケツゴウ</t>
    </rPh>
    <rPh sb="3" eb="5">
      <t>キノウ</t>
    </rPh>
    <rPh sb="10" eb="12">
      <t>シケン</t>
    </rPh>
    <rPh sb="16" eb="17">
      <t>ラン</t>
    </rPh>
    <rPh sb="18" eb="19">
      <t>ウ</t>
    </rPh>
    <rPh sb="21" eb="23">
      <t>キノウ</t>
    </rPh>
    <phoneticPr fontId="2"/>
  </si>
  <si>
    <t>→不要！試験実施をシート毎に行えば、フォルダ構成変更は不要となる。</t>
    <rPh sb="1" eb="3">
      <t>フヨウ</t>
    </rPh>
    <rPh sb="4" eb="6">
      <t>シケン</t>
    </rPh>
    <rPh sb="6" eb="8">
      <t>ジッシ</t>
    </rPh>
    <rPh sb="12" eb="13">
      <t>ゴト</t>
    </rPh>
    <rPh sb="14" eb="15">
      <t>オコナ</t>
    </rPh>
    <rPh sb="22" eb="24">
      <t>コウセイ</t>
    </rPh>
    <rPh sb="24" eb="26">
      <t>ヘンコウ</t>
    </rPh>
    <rPh sb="27" eb="29">
      <t>フヨウ</t>
    </rPh>
    <phoneticPr fontId="2"/>
  </si>
  <si>
    <t>「試験ファイル過不足チェックツール.xls」削除</t>
    <rPh sb="22" eb="24">
      <t>サクジョ</t>
    </rPh>
    <phoneticPr fontId="2"/>
  </si>
  <si>
    <t>削除の旨を記載する。</t>
    <rPh sb="0" eb="2">
      <t>サクジョ</t>
    </rPh>
    <rPh sb="3" eb="4">
      <t>ムネ</t>
    </rPh>
    <rPh sb="5" eb="7">
      <t>キサイ</t>
    </rPh>
    <phoneticPr fontId="2"/>
  </si>
  <si>
    <t>←時間的に厳しい！</t>
    <rPh sb="1" eb="4">
      <t>ジカンテキ</t>
    </rPh>
    <rPh sb="5" eb="6">
      <t>キビ</t>
    </rPh>
    <phoneticPr fontId="2"/>
  </si>
  <si>
    <t>入力データ</t>
    <rPh sb="0" eb="2">
      <t>ニュウリョク</t>
    </rPh>
    <phoneticPr fontId="2"/>
  </si>
  <si>
    <t>項目書ファイルパス</t>
    <rPh sb="0" eb="2">
      <t>コウモク</t>
    </rPh>
    <rPh sb="2" eb="3">
      <t>ショ</t>
    </rPh>
    <phoneticPr fontId="2"/>
  </si>
  <si>
    <t>ログフォルダパス</t>
    <phoneticPr fontId="2"/>
  </si>
  <si>
    <t>試験フェーズ</t>
    <rPh sb="0" eb="2">
      <t>シケン</t>
    </rPh>
    <phoneticPr fontId="2"/>
  </si>
  <si>
    <t>←単体試験の場合は無視する処理に使う。</t>
    <rPh sb="1" eb="3">
      <t>タンタイ</t>
    </rPh>
    <rPh sb="3" eb="5">
      <t>シケン</t>
    </rPh>
    <rPh sb="6" eb="8">
      <t>バアイ</t>
    </rPh>
    <rPh sb="9" eb="11">
      <t>ムシ</t>
    </rPh>
    <rPh sb="13" eb="15">
      <t>ショリ</t>
    </rPh>
    <rPh sb="16" eb="17">
      <t>ツカ</t>
    </rPh>
    <phoneticPr fontId="2"/>
  </si>
  <si>
    <t>↓</t>
    <phoneticPr fontId="2"/>
  </si>
  <si>
    <t>追加機能検討</t>
    <rPh sb="0" eb="2">
      <t>ツイカ</t>
    </rPh>
    <rPh sb="2" eb="4">
      <t>キノウ</t>
    </rPh>
    <rPh sb="4" eb="6">
      <t>ケントウ</t>
    </rPh>
    <phoneticPr fontId="2"/>
  </si>
  <si>
    <t>年月日</t>
    <rPh sb="0" eb="3">
      <t>ネンガッピ</t>
    </rPh>
    <phoneticPr fontId="3"/>
  </si>
  <si>
    <t>結果判定</t>
    <rPh sb="0" eb="2">
      <t>ケッカ</t>
    </rPh>
    <rPh sb="2" eb="4">
      <t>ハンテイ</t>
    </rPh>
    <phoneticPr fontId="3"/>
  </si>
  <si>
    <t>Rev</t>
  </si>
  <si>
    <t>評価者</t>
    <rPh sb="0" eb="2">
      <t>ヒョウカ</t>
    </rPh>
    <rPh sb="2" eb="3">
      <t>シャ</t>
    </rPh>
    <phoneticPr fontId="3"/>
  </si>
  <si>
    <t>埋め込み値</t>
    <rPh sb="0" eb="1">
      <t>ウ</t>
    </rPh>
    <rPh sb="2" eb="3">
      <t>コ</t>
    </rPh>
    <rPh sb="4" eb="5">
      <t>チ</t>
    </rPh>
    <phoneticPr fontId="2"/>
  </si>
  <si>
    <t>→OK固定</t>
    <rPh sb="3" eb="5">
      <t>コテイ</t>
    </rPh>
    <phoneticPr fontId="2"/>
  </si>
  <si>
    <t>Rev</t>
    <phoneticPr fontId="2"/>
  </si>
  <si>
    <t>単体試験の試験結果欄を埋める機能</t>
    <rPh sb="0" eb="2">
      <t>タンタイ</t>
    </rPh>
    <rPh sb="2" eb="4">
      <t>シケン</t>
    </rPh>
    <rPh sb="5" eb="7">
      <t>シケン</t>
    </rPh>
    <rPh sb="7" eb="9">
      <t>ケッカ</t>
    </rPh>
    <rPh sb="9" eb="10">
      <t>ラン</t>
    </rPh>
    <rPh sb="11" eb="12">
      <t>ウ</t>
    </rPh>
    <rPh sb="14" eb="16">
      <t>キノウ</t>
    </rPh>
    <phoneticPr fontId="2"/>
  </si>
  <si>
    <t>試験データは、「項番」「Module Name」「シート名」「File Name」の情報から埋める</t>
    <rPh sb="0" eb="2">
      <t>シケン</t>
    </rPh>
    <rPh sb="42" eb="44">
      <t>ジョウホウ</t>
    </rPh>
    <rPh sb="46" eb="47">
      <t>ウ</t>
    </rPh>
    <phoneticPr fontId="2"/>
  </si>
  <si>
    <t>→フォルダ構成が正しいこと前提！</t>
    <rPh sb="5" eb="7">
      <t>コウセイ</t>
    </rPh>
    <rPh sb="8" eb="9">
      <t>タダ</t>
    </rPh>
    <rPh sb="13" eb="15">
      <t>ゼンテイ</t>
    </rPh>
    <phoneticPr fontId="2"/>
  </si>
  <si>
    <t>「シートIdx_項目Idx（項番）」の配列。</t>
    <rPh sb="19" eb="21">
      <t>ハイレツ</t>
    </rPh>
    <phoneticPr fontId="2"/>
  </si>
  <si>
    <t>対象フォルダ配下のCSV ファイルを検索し、「試験実施済み項目リスト」を作成する。</t>
    <rPh sb="0" eb="2">
      <t>タイショウ</t>
    </rPh>
    <rPh sb="6" eb="8">
      <t>ハイカ</t>
    </rPh>
    <rPh sb="18" eb="20">
      <t>ケンサク</t>
    </rPh>
    <rPh sb="23" eb="25">
      <t>シケン</t>
    </rPh>
    <rPh sb="25" eb="27">
      <t>ジッシ</t>
    </rPh>
    <rPh sb="27" eb="28">
      <t>ズ</t>
    </rPh>
    <rPh sb="29" eb="31">
      <t>コウモク</t>
    </rPh>
    <rPh sb="36" eb="38">
      <t>サクセイ</t>
    </rPh>
    <phoneticPr fontId="2"/>
  </si>
  <si>
    <t>：</t>
    <phoneticPr fontId="2"/>
  </si>
  <si>
    <t>「試験実施済み項目リスト」</t>
    <phoneticPr fontId="2"/>
  </si>
  <si>
    <t>「試験実施済み項目リスト」書き込む行が導き出せるので、列を判別して書き込み！</t>
    <rPh sb="13" eb="14">
      <t>カ</t>
    </rPh>
    <rPh sb="15" eb="16">
      <t>コ</t>
    </rPh>
    <rPh sb="17" eb="18">
      <t>ギョウ</t>
    </rPh>
    <rPh sb="19" eb="20">
      <t>ミチビ</t>
    </rPh>
    <rPh sb="21" eb="22">
      <t>ダ</t>
    </rPh>
    <rPh sb="27" eb="28">
      <t>レツ</t>
    </rPh>
    <rPh sb="29" eb="31">
      <t>ハンベツ</t>
    </rPh>
    <rPh sb="33" eb="34">
      <t>カ</t>
    </rPh>
    <rPh sb="35" eb="36">
      <t>コ</t>
    </rPh>
    <phoneticPr fontId="2"/>
  </si>
  <si>
    <t>機能概要</t>
    <rPh sb="0" eb="2">
      <t>キノウ</t>
    </rPh>
    <rPh sb="2" eb="4">
      <t>ガイヨウ</t>
    </rPh>
    <phoneticPr fontId="2"/>
  </si>
  <si>
    <t>ただし、以下の変更と、不要なファイルは削除できるバッチの作成が必要</t>
    <rPh sb="4" eb="6">
      <t>イカ</t>
    </rPh>
    <rPh sb="7" eb="9">
      <t>ヘンコウ</t>
    </rPh>
    <rPh sb="11" eb="13">
      <t>フヨウ</t>
    </rPh>
    <rPh sb="19" eb="21">
      <t>サクジョ</t>
    </rPh>
    <rPh sb="28" eb="30">
      <t>サクセイ</t>
    </rPh>
    <rPh sb="31" eb="33">
      <t>ヒツヨウ</t>
    </rPh>
    <phoneticPr fontId="2"/>
  </si>
  <si>
    <t>項目書の項番から「\[項目書ファイル名（拡張子なし）]\[シート名]\[項番]」を作成して、ファイルリストをなめる。</t>
    <rPh sb="0" eb="2">
      <t>コウモク</t>
    </rPh>
    <rPh sb="2" eb="3">
      <t>ショ</t>
    </rPh>
    <rPh sb="4" eb="5">
      <t>コウ</t>
    </rPh>
    <rPh sb="5" eb="6">
      <t>バン</t>
    </rPh>
    <rPh sb="41" eb="43">
      <t>サクセイ</t>
    </rPh>
    <phoneticPr fontId="2"/>
  </si>
  <si>
    <t>ファイルリストの中で、上記パスを含むファイルがある場合は、テストデータ欄に追加する。</t>
    <rPh sb="8" eb="9">
      <t>ナカ</t>
    </rPh>
    <rPh sb="11" eb="13">
      <t>ジョウキ</t>
    </rPh>
    <rPh sb="16" eb="17">
      <t>フク</t>
    </rPh>
    <rPh sb="25" eb="27">
      <t>バアイ</t>
    </rPh>
    <rPh sb="35" eb="36">
      <t>ラン</t>
    </rPh>
    <rPh sb="37" eb="39">
      <t>ツイカ</t>
    </rPh>
    <phoneticPr fontId="2"/>
  </si>
  <si>
    <t>→項番が含まれないファイルがあった場合は、無視されてしまう！！</t>
    <rPh sb="1" eb="2">
      <t>コウ</t>
    </rPh>
    <rPh sb="2" eb="3">
      <t>バン</t>
    </rPh>
    <rPh sb="4" eb="5">
      <t>フク</t>
    </rPh>
    <rPh sb="17" eb="19">
      <t>バアイ</t>
    </rPh>
    <rPh sb="21" eb="23">
      <t>ムシ</t>
    </rPh>
    <phoneticPr fontId="2"/>
  </si>
  <si>
    <t>→CSV ファイルの有無だけでOKを記載することに注意！</t>
    <rPh sb="10" eb="12">
      <t>ウム</t>
    </rPh>
    <rPh sb="18" eb="20">
      <t>キサイ</t>
    </rPh>
    <rPh sb="25" eb="27">
      <t>チュウイ</t>
    </rPh>
    <phoneticPr fontId="2"/>
  </si>
  <si>
    <t>←結合・機能・システム試験の場合は無視する処理に使う。</t>
    <rPh sb="1" eb="3">
      <t>ケツゴウ</t>
    </rPh>
    <rPh sb="4" eb="6">
      <t>キノウ</t>
    </rPh>
    <rPh sb="11" eb="13">
      <t>シケン</t>
    </rPh>
    <rPh sb="14" eb="16">
      <t>バアイ</t>
    </rPh>
    <rPh sb="17" eb="19">
      <t>ムシ</t>
    </rPh>
    <rPh sb="21" eb="23">
      <t>ショリ</t>
    </rPh>
    <rPh sb="24" eb="25">
      <t>ツカ</t>
    </rPh>
    <phoneticPr fontId="2"/>
  </si>
  <si>
    <t>バックアップファイルを作成する。</t>
    <rPh sb="11" eb="13">
      <t>サクセイ</t>
    </rPh>
    <phoneticPr fontId="2"/>
  </si>
  <si>
    <t>→セル上書きしていいかの情報は、どこから持ってくるか。</t>
    <rPh sb="3" eb="5">
      <t>ウワガ</t>
    </rPh>
    <rPh sb="12" eb="14">
      <t>ジョウホウ</t>
    </rPh>
    <rPh sb="20" eb="21">
      <t>モ</t>
    </rPh>
    <phoneticPr fontId="2"/>
  </si>
  <si>
    <t>追加、変更、バージョン管理外</t>
    <rPh sb="0" eb="2">
      <t>ツイカ</t>
    </rPh>
    <rPh sb="3" eb="5">
      <t>ヘンコウ</t>
    </rPh>
    <rPh sb="11" eb="13">
      <t>カンリ</t>
    </rPh>
    <rPh sb="13" eb="14">
      <t>ガイ</t>
    </rPh>
    <phoneticPr fontId="2"/>
  </si>
  <si>
    <t>セル上書き</t>
    <rPh sb="2" eb="4">
      <t>ウワガ</t>
    </rPh>
    <phoneticPr fontId="2"/>
  </si>
  <si>
    <t>変更なし</t>
    <rPh sb="0" eb="2">
      <t>ヘンコウ</t>
    </rPh>
    <phoneticPr fontId="2"/>
  </si>
  <si>
    <t>セル上書かない</t>
    <rPh sb="2" eb="4">
      <t>ウワガ</t>
    </rPh>
    <phoneticPr fontId="2"/>
  </si>
  <si>
    <t>結果はResultシートに出す。</t>
    <rPh sb="0" eb="2">
      <t>ケッカ</t>
    </rPh>
    <rPh sb="13" eb="14">
      <t>ダ</t>
    </rPh>
    <phoneticPr fontId="2"/>
  </si>
  <si>
    <t>シート名</t>
    <rPh sb="3" eb="4">
      <t>メイ</t>
    </rPh>
    <phoneticPr fontId="2"/>
  </si>
  <si>
    <t>項番</t>
    <rPh sb="0" eb="1">
      <t>コウ</t>
    </rPh>
    <rPh sb="1" eb="2">
      <t>バン</t>
    </rPh>
    <phoneticPr fontId="2"/>
  </si>
  <si>
    <t>結果</t>
    <rPh sb="0" eb="2">
      <t>ケッカ</t>
    </rPh>
    <phoneticPr fontId="2"/>
  </si>
  <si>
    <t>上書き</t>
    <rPh sb="0" eb="2">
      <t>ウワガ</t>
    </rPh>
    <phoneticPr fontId="2"/>
  </si>
  <si>
    <t>追記</t>
    <rPh sb="0" eb="2">
      <t>ツイキ</t>
    </rPh>
    <phoneticPr fontId="2"/>
  </si>
  <si>
    <t>試験データ欄</t>
    <rPh sb="0" eb="2">
      <t>シケン</t>
    </rPh>
    <rPh sb="5" eb="6">
      <t>ラン</t>
    </rPh>
    <phoneticPr fontId="2"/>
  </si>
  <si>
    <t>変更前</t>
    <rPh sb="0" eb="2">
      <t>ヘンコウ</t>
    </rPh>
    <rPh sb="2" eb="3">
      <t>マエ</t>
    </rPh>
    <phoneticPr fontId="2"/>
  </si>
  <si>
    <t>変更後</t>
    <rPh sb="0" eb="2">
      <t>ヘンコウ</t>
    </rPh>
    <rPh sb="2" eb="3">
      <t>ゴ</t>
    </rPh>
    <phoneticPr fontId="2"/>
  </si>
  <si>
    <t>→</t>
    <phoneticPr fontId="2"/>
  </si>
  <si>
    <t>ファイルの「SVN 変更状態」を見る。変更なし以外のファイルが一つでもあれば、上書きする。</t>
    <rPh sb="10" eb="12">
      <t>ヘンコウ</t>
    </rPh>
    <rPh sb="12" eb="14">
      <t>ジョウタイ</t>
    </rPh>
    <rPh sb="16" eb="17">
      <t>ミ</t>
    </rPh>
    <rPh sb="19" eb="21">
      <t>ヘンコウ</t>
    </rPh>
    <rPh sb="23" eb="25">
      <t>イガイ</t>
    </rPh>
    <rPh sb="31" eb="32">
      <t>ヒト</t>
    </rPh>
    <rPh sb="39" eb="41">
      <t>ウワガ</t>
    </rPh>
    <phoneticPr fontId="2"/>
  </si>
  <si>
    <t>試験データ</t>
    <rPh sb="0" eb="2">
      <t>シケン</t>
    </rPh>
    <phoneticPr fontId="2"/>
  </si>
  <si>
    <t>★</t>
    <phoneticPr fontId="2"/>
  </si>
  <si>
    <t>「★本ツールを実行する前に★」シートを追加！</t>
    <rPh sb="2" eb="3">
      <t>ホン</t>
    </rPh>
    <rPh sb="7" eb="9">
      <t>ジッコウ</t>
    </rPh>
    <rPh sb="11" eb="12">
      <t>マエ</t>
    </rPh>
    <rPh sb="19" eb="21">
      <t>ツイカ</t>
    </rPh>
    <phoneticPr fontId="2"/>
  </si>
  <si>
    <t>項目書名</t>
    <rPh sb="0" eb="2">
      <t>コウモク</t>
    </rPh>
    <rPh sb="2" eb="3">
      <t>ショ</t>
    </rPh>
    <rPh sb="3" eb="4">
      <t>メイ</t>
    </rPh>
    <phoneticPr fontId="2"/>
  </si>
  <si>
    <t>ログフォルダパス</t>
    <phoneticPr fontId="2"/>
  </si>
  <si>
    <t>★</t>
    <phoneticPr fontId="2"/>
  </si>
  <si>
    <t>GetTCDocInfoShtをきれいにする。</t>
    <phoneticPr fontId="2"/>
  </si>
  <si>
    <t>試験Rev</t>
    <rPh sb="0" eb="2">
      <t>シケン</t>
    </rPh>
    <phoneticPr fontId="3"/>
  </si>
  <si>
    <t>HEX/ABS</t>
  </si>
  <si>
    <t>A2L</t>
  </si>
  <si>
    <t>→結果欄を見るように！</t>
    <rPh sb="1" eb="3">
      <t>ケッカ</t>
    </rPh>
    <rPh sb="3" eb="4">
      <t>ラン</t>
    </rPh>
    <rPh sb="5" eb="6">
      <t>ミ</t>
    </rPh>
    <phoneticPr fontId="2"/>
  </si>
  <si>
    <t>記載されていることを確認する。</t>
  </si>
  <si>
    <t>ex)</t>
  </si>
  <si>
    <t>×：10</t>
  </si>
  <si>
    <t>○：TF22-ST-03_POF-010</t>
  </si>
  <si>
    <t>×：11-1_4-3</t>
  </si>
  <si>
    <t>○：試験項目(11-1_4-3)</t>
  </si>
  <si>
    <t>■本ツールを実行する前に</t>
    <rPh sb="1" eb="2">
      <t>ホン</t>
    </rPh>
    <rPh sb="6" eb="8">
      <t>ジッコウ</t>
    </rPh>
    <rPh sb="10" eb="11">
      <t>マエ</t>
    </rPh>
    <phoneticPr fontId="2"/>
  </si>
  <si>
    <t>本ツールを実行する前に、必ず以下を確認すること！</t>
    <rPh sb="0" eb="1">
      <t>ホン</t>
    </rPh>
    <rPh sb="5" eb="7">
      <t>ジッコウ</t>
    </rPh>
    <rPh sb="9" eb="10">
      <t>マエ</t>
    </rPh>
    <rPh sb="12" eb="13">
      <t>カナラ</t>
    </rPh>
    <rPh sb="14" eb="16">
      <t>イカ</t>
    </rPh>
    <rPh sb="17" eb="19">
      <t>カクニン</t>
    </rPh>
    <phoneticPr fontId="2"/>
  </si>
  <si>
    <t>「★本ツールを実行する前に★」シートの注意事項を確認。</t>
    <rPh sb="19" eb="21">
      <t>チュウイ</t>
    </rPh>
    <rPh sb="21" eb="23">
      <t>ジコウ</t>
    </rPh>
    <rPh sb="24" eb="26">
      <t>カクニン</t>
    </rPh>
    <phoneticPr fontId="2"/>
  </si>
  <si>
    <t>→</t>
  </si>
  <si>
    <t>試験ログフォルダパス</t>
    <phoneticPr fontId="2"/>
  </si>
  <si>
    <t>遠藤</t>
    <rPh sb="0" eb="2">
      <t>エンドウ</t>
    </rPh>
    <phoneticPr fontId="3"/>
  </si>
  <si>
    <t>OK</t>
  </si>
  <si>
    <t>dgMonCanLocalComErrMcu110Main.txt
dgMonCanLocalComErrMcu110Main_1.csv
テスト結果報告書.htm</t>
    <phoneticPr fontId="2"/>
  </si>
  <si>
    <t>OK</t>
    <phoneticPr fontId="2"/>
  </si>
  <si>
    <t>dgMonCanLocalComErrMcu110Main</t>
    <phoneticPr fontId="2"/>
  </si>
  <si>
    <t>□実施結果欄 書き込み結果</t>
    <rPh sb="1" eb="3">
      <t>ジッシ</t>
    </rPh>
    <rPh sb="3" eb="5">
      <t>ケッカ</t>
    </rPh>
    <rPh sb="5" eb="6">
      <t>ラン</t>
    </rPh>
    <rPh sb="7" eb="8">
      <t>カ</t>
    </rPh>
    <rPh sb="9" eb="10">
      <t>コ</t>
    </rPh>
    <rPh sb="11" eb="13">
      <t>ケッカ</t>
    </rPh>
    <phoneticPr fontId="2"/>
  </si>
  <si>
    <t>判定</t>
    <rPh sb="0" eb="2">
      <t>ハンテイ</t>
    </rPh>
    <phoneticPr fontId="3"/>
  </si>
  <si>
    <t>試験データ</t>
    <rPh sb="0" eb="2">
      <t>シケン</t>
    </rPh>
    <phoneticPr fontId="3"/>
  </si>
  <si>
    <t>杉村</t>
    <rPh sb="0" eb="2">
      <t>スギムラ</t>
    </rPh>
    <phoneticPr fontId="3"/>
  </si>
  <si>
    <t>TF22_CT_04_001.txt</t>
  </si>
  <si>
    <t>-</t>
  </si>
  <si>
    <t>試験項目（あ） (2)</t>
    <phoneticPr fontId="2"/>
  </si>
  <si>
    <t>TF22_CT_04_001</t>
    <phoneticPr fontId="2"/>
  </si>
  <si>
    <t>実施結果欄の書き込み結果を表示。</t>
    <rPh sb="0" eb="2">
      <t>ジッシ</t>
    </rPh>
    <rPh sb="2" eb="4">
      <t>ケッカ</t>
    </rPh>
    <rPh sb="4" eb="5">
      <t>ラン</t>
    </rPh>
    <rPh sb="6" eb="7">
      <t>カ</t>
    </rPh>
    <rPh sb="8" eb="9">
      <t>コ</t>
    </rPh>
    <rPh sb="10" eb="12">
      <t>ケッカ</t>
    </rPh>
    <rPh sb="13" eb="15">
      <t>ヒョウジ</t>
    </rPh>
    <phoneticPr fontId="2"/>
  </si>
  <si>
    <t>◇試験結果欄書き込み</t>
    <rPh sb="1" eb="3">
      <t>シケン</t>
    </rPh>
    <rPh sb="3" eb="5">
      <t>ケッカ</t>
    </rPh>
    <rPh sb="5" eb="6">
      <t>ラン</t>
    </rPh>
    <rPh sb="6" eb="7">
      <t>カ</t>
    </rPh>
    <rPh sb="8" eb="9">
      <t>コ</t>
    </rPh>
    <phoneticPr fontId="2"/>
  </si>
  <si>
    <t>試験データ</t>
    <rPh sb="0" eb="2">
      <t>シケン</t>
    </rPh>
    <phoneticPr fontId="2"/>
  </si>
  <si>
    <t>試験 Rev（HEX/ABS）</t>
    <rPh sb="0" eb="2">
      <t>シケン</t>
    </rPh>
    <phoneticPr fontId="2"/>
  </si>
  <si>
    <t>試験 Rev（A2L）</t>
    <rPh sb="0" eb="2">
      <t>シケン</t>
    </rPh>
    <phoneticPr fontId="2"/>
  </si>
  <si>
    <t>試験 Rev（ソースコード）</t>
    <rPh sb="0" eb="2">
      <t>シケン</t>
    </rPh>
    <phoneticPr fontId="2"/>
  </si>
  <si>
    <t>-</t>
    <phoneticPr fontId="2"/>
  </si>
  <si>
    <t>OutpTestResultUT</t>
    <phoneticPr fontId="2"/>
  </si>
  <si>
    <t>OutpTestResultExceptUT</t>
    <phoneticPr fontId="2"/>
  </si>
  <si>
    <t>結合/機能/システム試験のデータ欄を埋める機能</t>
    <phoneticPr fontId="2"/>
  </si>
  <si>
    <t>バックアップファイルを作成する。</t>
    <phoneticPr fontId="2"/>
  </si>
  <si>
    <t>CreBackupFile</t>
    <phoneticPr fontId="2"/>
  </si>
  <si>
    <t>CreTestedTcList</t>
    <phoneticPr fontId="2"/>
  </si>
  <si>
    <t>OutpWriRslt</t>
    <phoneticPr fontId="2"/>
  </si>
  <si>
    <t>-</t>
    <phoneticPr fontId="2"/>
  </si>
  <si>
    <t>★</t>
    <phoneticPr fontId="2"/>
  </si>
  <si>
    <t>試験項目書のフォーマットを整える！</t>
    <rPh sb="0" eb="2">
      <t>シケン</t>
    </rPh>
    <rPh sb="2" eb="4">
      <t>コウモク</t>
    </rPh>
    <rPh sb="4" eb="5">
      <t>ショ</t>
    </rPh>
    <rPh sb="13" eb="14">
      <t>トトノ</t>
    </rPh>
    <phoneticPr fontId="2"/>
  </si>
  <si>
    <t>Mng_Info_TCDoc_4ExceptUT</t>
    <phoneticPr fontId="2"/>
  </si>
  <si>
    <t>Mng_Info_TCDoc_4UT</t>
    <phoneticPr fontId="2"/>
  </si>
  <si>
    <t>GetSvnModStatList</t>
    <phoneticPr fontId="2"/>
  </si>
  <si>
    <t>ファイルの SVN 変更状況リストを作成する。</t>
    <rPh sb="10" eb="12">
      <t>ヘンコウ</t>
    </rPh>
    <rPh sb="12" eb="14">
      <t>ジョウキョウ</t>
    </rPh>
    <rPh sb="18" eb="20">
      <t>サクセイ</t>
    </rPh>
    <phoneticPr fontId="2"/>
  </si>
  <si>
    <t>「試験実施済み項目リスト」書き込む行が導き出せるので、列を判別して書き込み！
結果はResultシートに出す。</t>
    <phoneticPr fontId="2"/>
  </si>
  <si>
    <t>ファイルリストの中で、上記パスを含むファイルがある場合は、テストデータ欄に追加する。
結果はResultシートに出す。</t>
    <rPh sb="8" eb="9">
      <t>ナカ</t>
    </rPh>
    <rPh sb="11" eb="13">
      <t>ジョウキ</t>
    </rPh>
    <rPh sb="16" eb="17">
      <t>フク</t>
    </rPh>
    <rPh sb="25" eb="27">
      <t>バアイ</t>
    </rPh>
    <rPh sb="35" eb="36">
      <t>ラン</t>
    </rPh>
    <rPh sb="37" eb="39">
      <t>ツイカ</t>
    </rPh>
    <phoneticPr fontId="2"/>
  </si>
  <si>
    <t>項目書の項番から文字列「\[項目書ファイル名（拡張子なし）]\[シート名]\[項番]」を作成して、ファイルリストをなめる。
上記文字列と一致した場合、</t>
    <rPh sb="0" eb="2">
      <t>コウモク</t>
    </rPh>
    <rPh sb="2" eb="3">
      <t>ショ</t>
    </rPh>
    <rPh sb="4" eb="5">
      <t>コウ</t>
    </rPh>
    <rPh sb="5" eb="6">
      <t>バン</t>
    </rPh>
    <rPh sb="8" eb="11">
      <t>モジレツ</t>
    </rPh>
    <rPh sb="44" eb="46">
      <t>サクセイ</t>
    </rPh>
    <rPh sb="62" eb="64">
      <t>ジョウキ</t>
    </rPh>
    <rPh sb="64" eb="67">
      <t>モジレツ</t>
    </rPh>
    <rPh sb="68" eb="70">
      <t>イッチ</t>
    </rPh>
    <rPh sb="72" eb="74">
      <t>バアイ</t>
    </rPh>
    <phoneticPr fontId="2"/>
  </si>
  <si>
    <t>単体試験の試験結果欄を埋める機能</t>
    <phoneticPr fontId="2"/>
  </si>
  <si>
    <t>Mng_Svn</t>
    <phoneticPr fontId="2"/>
  </si>
  <si>
    <t>対象フォルダ配下の CSV ファイルを検索し、「試験実施済み項目リスト」を作成する。</t>
    <phoneticPr fontId="2"/>
  </si>
  <si>
    <t>→</t>
    <phoneticPr fontId="2"/>
  </si>
  <si>
    <t>遠藤ぅ</t>
    <rPh sb="0" eb="2">
      <t>エンドウ</t>
    </rPh>
    <phoneticPr fontId="2"/>
  </si>
  <si>
    <t>OKぇ</t>
    <phoneticPr fontId="2"/>
  </si>
  <si>
    <t>C:\Coffer\svn_PTM\trunk\03_管理\30_ツール\test\TF2次プロト2nd単体試験項目書_02_診断モニタ変更_dgMonCanLocalComErr-16686_○2.xls</t>
    <phoneticPr fontId="2"/>
  </si>
  <si>
    <t>C:\Coffer\svn_PTM\test\11_TF2次プロト2nd\31_単体試験ログ</t>
    <phoneticPr fontId="2"/>
  </si>
  <si>
    <t>★</t>
    <phoneticPr fontId="2"/>
  </si>
  <si>
    <t>エラー系は考慮しないと。</t>
    <rPh sb="3" eb="4">
      <t>ケイ</t>
    </rPh>
    <rPh sb="5" eb="7">
      <t>コウリョ</t>
    </rPh>
    <phoneticPr fontId="2"/>
  </si>
  <si>
    <t>OutpWriRslt 実装</t>
    <rPh sb="12" eb="14">
      <t>ジッソウ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</si>
</sst>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8" formatCode="&quot;¥&quot;#,##0.00;[Red]&quot;¥&quot;\-#,##0.00"/>
    <numFmt numFmtId="176" formatCode="0.0"/>
  </numFmts>
  <fonts count="62">
    <font>
      <sz val="11"/>
      <color theme="1"/>
      <name val="ＭＳ Ｐゴシック"/>
      <family val="2"/>
      <scheme val="minor"/>
    </font>
    <font>
      <sz val="11"/>
      <color theme="1"/>
      <name val="ＭＳ Ｐゴシック"/>
      <family val="2"/>
      <charset val="128"/>
      <scheme val="minor"/>
    </font>
    <font>
      <sz val="6"/>
      <name val="ＭＳ Ｐゴシック"/>
      <family val="3"/>
      <charset val="128"/>
      <scheme val="minor"/>
    </font>
    <font>
      <sz val="11"/>
      <color rgb="FFFF0000"/>
      <name val="ＭＳ Ｐゴシック"/>
      <family val="2"/>
      <scheme val="minor"/>
    </font>
    <font>
      <b/>
      <sz val="11"/>
      <color theme="1"/>
      <name val="ＭＳ Ｐゴシック"/>
      <family val="3"/>
      <charset val="128"/>
      <scheme val="minor"/>
    </font>
    <font>
      <u/>
      <sz val="11"/>
      <color theme="10"/>
      <name val="ＭＳ Ｐゴシック"/>
      <family val="2"/>
      <scheme val="minor"/>
    </font>
    <font>
      <sz val="11"/>
      <color theme="1"/>
      <name val="ＭＳ Ｐゴシック"/>
      <family val="3"/>
      <charset val="128"/>
      <scheme val="minor"/>
    </font>
    <font>
      <u/>
      <sz val="11"/>
      <color theme="1"/>
      <name val="ＭＳ Ｐゴシック"/>
      <family val="3"/>
      <charset val="128"/>
      <scheme val="minor"/>
    </font>
    <font>
      <b/>
      <sz val="11"/>
      <color rgb="FFC00000"/>
      <name val="ＭＳ Ｐゴシック"/>
      <family val="3"/>
      <charset val="128"/>
      <scheme val="minor"/>
    </font>
    <font>
      <b/>
      <sz val="11"/>
      <color rgb="FF0070C0"/>
      <name val="ＭＳ Ｐゴシック"/>
      <family val="3"/>
      <charset val="128"/>
      <scheme val="minor"/>
    </font>
    <font>
      <sz val="11"/>
      <color theme="1"/>
      <name val="ＭＳ ゴシック"/>
      <family val="3"/>
      <charset val="128"/>
    </font>
    <font>
      <b/>
      <sz val="11"/>
      <color theme="1"/>
      <name val="ＭＳ ゴシック"/>
      <family val="3"/>
      <charset val="128"/>
    </font>
    <font>
      <sz val="11"/>
      <color rgb="FFFF0000"/>
      <name val="ＭＳ Ｐゴシック"/>
      <family val="3"/>
      <charset val="128"/>
      <scheme val="minor"/>
    </font>
    <font>
      <sz val="11"/>
      <color theme="3" tint="0.39997558519241921"/>
      <name val="ＭＳ Ｐゴシック"/>
      <family val="2"/>
      <scheme val="minor"/>
    </font>
    <font>
      <sz val="11"/>
      <color theme="3" tint="0.39997558519241921"/>
      <name val="ＭＳ Ｐゴシック"/>
      <family val="3"/>
      <charset val="128"/>
      <scheme val="minor"/>
    </font>
    <font>
      <b/>
      <sz val="9"/>
      <color indexed="81"/>
      <name val="ＭＳ Ｐゴシック"/>
      <family val="3"/>
      <charset val="128"/>
    </font>
    <font>
      <sz val="11"/>
      <color rgb="FF000000"/>
      <name val="ＭＳ Ｐゴシック"/>
      <family val="3"/>
      <charset val="128"/>
    </font>
    <font>
      <b/>
      <sz val="12"/>
      <color theme="1"/>
      <name val="ＭＳ Ｐゴシック"/>
      <family val="3"/>
      <charset val="128"/>
      <scheme val="minor"/>
    </font>
    <font>
      <b/>
      <sz val="12"/>
      <color rgb="FF0070C0"/>
      <name val="ＭＳ Ｐゴシック"/>
      <family val="3"/>
      <charset val="128"/>
      <scheme val="minor"/>
    </font>
    <font>
      <i/>
      <sz val="11"/>
      <color theme="1"/>
      <name val="ＭＳ Ｐゴシック"/>
      <family val="3"/>
      <charset val="128"/>
      <scheme val="minor"/>
    </font>
    <font>
      <sz val="11"/>
      <name val="ＭＳ Ｐゴシック"/>
      <family val="2"/>
      <scheme val="minor"/>
    </font>
    <font>
      <sz val="11"/>
      <color indexed="8"/>
      <name val="ＭＳ Ｐゴシック"/>
      <family val="3"/>
      <charset val="128"/>
    </font>
    <font>
      <sz val="11"/>
      <name val="ＭＳ ゴシック"/>
      <family val="3"/>
      <charset val="128"/>
    </font>
    <font>
      <b/>
      <u/>
      <sz val="14"/>
      <name val="ＭＳ Ｐゴシック"/>
      <family val="3"/>
      <charset val="128"/>
      <scheme val="minor"/>
    </font>
    <font>
      <sz val="6"/>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u/>
      <sz val="11"/>
      <color indexed="12"/>
      <name val="ＭＳ Ｐゴシック"/>
      <family val="3"/>
      <charset val="128"/>
    </font>
    <font>
      <u/>
      <sz val="9.35"/>
      <color indexed="12"/>
      <name val="ＭＳ Ｐゴシック"/>
      <family val="3"/>
      <charset val="128"/>
    </font>
    <font>
      <sz val="11"/>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sz val="9"/>
      <color theme="1"/>
      <name val="ＭＳ Ｐゴシック"/>
      <family val="3"/>
      <charset val="128"/>
      <scheme val="minor"/>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name val="明朝"/>
      <family val="1"/>
      <charset val="128"/>
    </font>
    <font>
      <sz val="11"/>
      <color indexed="62"/>
      <name val="ＭＳ Ｐゴシック"/>
      <family val="3"/>
      <charset val="128"/>
    </font>
    <font>
      <sz val="10"/>
      <name val="ＭＳ ゴシック"/>
      <family val="3"/>
      <charset val="128"/>
    </font>
    <font>
      <sz val="9"/>
      <color indexed="8"/>
      <name val="ＭＳ Ｐゴシック"/>
      <family val="3"/>
      <charset val="128"/>
    </font>
    <font>
      <sz val="10"/>
      <name val="Arial"/>
      <family val="2"/>
    </font>
    <font>
      <sz val="11"/>
      <color indexed="17"/>
      <name val="ＭＳ Ｐゴシック"/>
      <family val="3"/>
      <charset val="128"/>
    </font>
    <font>
      <b/>
      <sz val="16"/>
      <color rgb="FFC00000"/>
      <name val="ＭＳ Ｐゴシック"/>
      <family val="3"/>
      <charset val="128"/>
      <scheme val="minor"/>
    </font>
    <font>
      <b/>
      <sz val="16"/>
      <color rgb="FF0070C0"/>
      <name val="ＭＳ Ｐゴシック"/>
      <family val="3"/>
      <charset val="128"/>
      <scheme val="minor"/>
    </font>
    <font>
      <sz val="16"/>
      <color rgb="FF0070C0"/>
      <name val="ＭＳ Ｐゴシック"/>
      <family val="3"/>
      <charset val="128"/>
      <scheme val="minor"/>
    </font>
    <font>
      <sz val="11"/>
      <color rgb="FFC00000"/>
      <name val="ＭＳ Ｐゴシック"/>
      <family val="3"/>
      <charset val="128"/>
      <scheme val="minor"/>
    </font>
    <font>
      <sz val="11"/>
      <color rgb="FF0070C0"/>
      <name val="ＭＳ Ｐゴシック"/>
      <family val="3"/>
      <charset val="128"/>
      <scheme val="minor"/>
    </font>
    <font>
      <sz val="11"/>
      <name val="ＭＳ Ｐゴシック"/>
      <family val="3"/>
      <charset val="128"/>
      <scheme val="minor"/>
    </font>
    <font>
      <b/>
      <sz val="11"/>
      <color rgb="FFFF0000"/>
      <name val="ＭＳ Ｐゴシック"/>
      <family val="3"/>
      <charset val="128"/>
      <scheme val="minor"/>
    </font>
    <font>
      <b/>
      <sz val="11"/>
      <color rgb="FF00B050"/>
      <name val="ＭＳ Ｐゴシック"/>
      <family val="3"/>
      <charset val="128"/>
      <scheme val="minor"/>
    </font>
    <font>
      <b/>
      <sz val="11"/>
      <color rgb="FF7030A0"/>
      <name val="ＭＳ Ｐゴシック"/>
      <family val="3"/>
      <charset val="128"/>
      <scheme val="minor"/>
    </font>
    <font>
      <sz val="11"/>
      <color rgb="FF00B0F0"/>
      <name val="ＭＳ Ｐゴシック"/>
      <family val="2"/>
      <scheme val="minor"/>
    </font>
    <font>
      <sz val="11"/>
      <color theme="0" tint="-0.14999847407452621"/>
      <name val="ＭＳ Ｐゴシック"/>
      <family val="2"/>
      <scheme val="minor"/>
    </font>
    <font>
      <sz val="11"/>
      <color theme="0" tint="-0.14999847407452621"/>
      <name val="ＭＳ Ｐゴシック"/>
      <family val="3"/>
      <charset val="128"/>
      <scheme val="minor"/>
    </font>
    <font>
      <b/>
      <sz val="11"/>
      <color theme="9" tint="-0.249977111117893"/>
      <name val="ＭＳ Ｐゴシック"/>
      <family val="3"/>
      <charset val="128"/>
      <scheme val="minor"/>
    </font>
  </fonts>
  <fills count="32">
    <fill>
      <patternFill patternType="none"/>
    </fill>
    <fill>
      <patternFill patternType="gray125"/>
    </fill>
    <fill>
      <patternFill patternType="solid">
        <fgColor rgb="FFCCFFCC"/>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gray125">
        <fgColor rgb="FF92D050"/>
      </patternFill>
    </fill>
    <fill>
      <patternFill patternType="solid">
        <fgColor rgb="FFCCFFCC"/>
        <bgColor auto="1"/>
      </patternFill>
    </fill>
    <fill>
      <patternFill patternType="solid">
        <fgColor indexed="65"/>
        <bgColor auto="1"/>
      </patternFill>
    </fill>
    <fill>
      <patternFill patternType="gray125">
        <fgColor rgb="FF7030A0"/>
        <bgColor auto="1"/>
      </patternFill>
    </fill>
    <fill>
      <patternFill patternType="gray125">
        <fgColor rgb="FFFFC000"/>
      </patternFill>
    </fill>
    <fill>
      <patternFill patternType="solid">
        <fgColor theme="9" tint="0.39997558519241921"/>
        <bgColor auto="1"/>
      </patternFill>
    </fill>
    <fill>
      <patternFill patternType="solid">
        <fgColor theme="0" tint="-0.49998474074526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s>
  <cellStyleXfs count="235">
    <xf numFmtId="0" fontId="0" fillId="0" borderId="0"/>
    <xf numFmtId="0" fontId="5" fillId="0" borderId="0" applyNumberFormat="0" applyFill="0" applyBorder="0" applyAlignment="0" applyProtection="0"/>
    <xf numFmtId="0" fontId="21" fillId="0" borderId="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4" borderId="0" applyNumberFormat="0" applyBorder="0" applyAlignment="0" applyProtection="0">
      <alignment vertical="center"/>
    </xf>
    <xf numFmtId="0" fontId="21" fillId="4" borderId="0" applyNumberFormat="0" applyBorder="0" applyAlignment="0" applyProtection="0">
      <alignment vertical="center"/>
    </xf>
    <xf numFmtId="0" fontId="21" fillId="4" borderId="0" applyNumberFormat="0" applyBorder="0" applyAlignment="0" applyProtection="0">
      <alignment vertical="center"/>
    </xf>
    <xf numFmtId="0" fontId="21" fillId="4"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7" borderId="0" applyNumberFormat="0" applyBorder="0" applyAlignment="0" applyProtection="0">
      <alignment vertical="center"/>
    </xf>
    <xf numFmtId="0" fontId="21" fillId="7" borderId="0" applyNumberFormat="0" applyBorder="0" applyAlignment="0" applyProtection="0">
      <alignment vertical="center"/>
    </xf>
    <xf numFmtId="0" fontId="21" fillId="7" borderId="0" applyNumberFormat="0" applyBorder="0" applyAlignment="0" applyProtection="0">
      <alignment vertical="center"/>
    </xf>
    <xf numFmtId="0" fontId="21" fillId="7" borderId="0" applyNumberFormat="0" applyBorder="0" applyAlignment="0" applyProtection="0">
      <alignment vertical="center"/>
    </xf>
    <xf numFmtId="0" fontId="21" fillId="8" borderId="0" applyNumberFormat="0" applyBorder="0" applyAlignment="0" applyProtection="0">
      <alignment vertical="center"/>
    </xf>
    <xf numFmtId="0" fontId="21" fillId="8" borderId="0" applyNumberFormat="0" applyBorder="0" applyAlignment="0" applyProtection="0">
      <alignment vertical="center"/>
    </xf>
    <xf numFmtId="0" fontId="21" fillId="8" borderId="0" applyNumberFormat="0" applyBorder="0" applyAlignment="0" applyProtection="0">
      <alignment vertical="center"/>
    </xf>
    <xf numFmtId="0" fontId="21" fillId="8"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10" borderId="0" applyNumberFormat="0" applyBorder="0" applyAlignment="0" applyProtection="0">
      <alignment vertical="center"/>
    </xf>
    <xf numFmtId="0" fontId="21" fillId="10" borderId="0" applyNumberFormat="0" applyBorder="0" applyAlignment="0" applyProtection="0">
      <alignment vertical="center"/>
    </xf>
    <xf numFmtId="0" fontId="21" fillId="10" borderId="0" applyNumberFormat="0" applyBorder="0" applyAlignment="0" applyProtection="0">
      <alignment vertical="center"/>
    </xf>
    <xf numFmtId="0" fontId="21" fillId="10" borderId="0" applyNumberFormat="0" applyBorder="0" applyAlignment="0" applyProtection="0">
      <alignment vertical="center"/>
    </xf>
    <xf numFmtId="0" fontId="21" fillId="11" borderId="0" applyNumberFormat="0" applyBorder="0" applyAlignment="0" applyProtection="0">
      <alignment vertical="center"/>
    </xf>
    <xf numFmtId="0" fontId="21" fillId="11" borderId="0" applyNumberFormat="0" applyBorder="0" applyAlignment="0" applyProtection="0">
      <alignment vertical="center"/>
    </xf>
    <xf numFmtId="0" fontId="21" fillId="11" borderId="0" applyNumberFormat="0" applyBorder="0" applyAlignment="0" applyProtection="0">
      <alignment vertical="center"/>
    </xf>
    <xf numFmtId="0" fontId="21" fillId="11"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6"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12" borderId="0" applyNumberFormat="0" applyBorder="0" applyAlignment="0" applyProtection="0">
      <alignment vertical="center"/>
    </xf>
    <xf numFmtId="0" fontId="21" fillId="12" borderId="0" applyNumberFormat="0" applyBorder="0" applyAlignment="0" applyProtection="0">
      <alignment vertical="center"/>
    </xf>
    <xf numFmtId="0" fontId="21" fillId="12" borderId="0" applyNumberFormat="0" applyBorder="0" applyAlignment="0" applyProtection="0">
      <alignment vertical="center"/>
    </xf>
    <xf numFmtId="0" fontId="21" fillId="1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6" borderId="0" applyNumberFormat="0" applyBorder="0" applyAlignment="0" applyProtection="0">
      <alignment vertical="center"/>
    </xf>
    <xf numFmtId="0" fontId="25" fillId="16"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20" borderId="0" applyNumberFormat="0" applyBorder="0" applyAlignment="0" applyProtection="0">
      <alignment vertical="center"/>
    </xf>
    <xf numFmtId="0" fontId="25" fillId="20" borderId="0" applyNumberFormat="0" applyBorder="0" applyAlignment="0" applyProtection="0">
      <alignment vertical="center"/>
    </xf>
    <xf numFmtId="0" fontId="25" fillId="20" borderId="0" applyNumberFormat="0" applyBorder="0" applyAlignment="0" applyProtection="0">
      <alignment vertical="center"/>
    </xf>
    <xf numFmtId="0" fontId="26"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21" borderId="8" applyNumberFormat="0" applyAlignment="0" applyProtection="0">
      <alignment vertical="center"/>
    </xf>
    <xf numFmtId="0" fontId="27" fillId="21" borderId="8" applyNumberFormat="0" applyAlignment="0" applyProtection="0">
      <alignment vertical="center"/>
    </xf>
    <xf numFmtId="0" fontId="27" fillId="21" borderId="8" applyNumberFormat="0" applyAlignment="0" applyProtection="0">
      <alignment vertical="center"/>
    </xf>
    <xf numFmtId="0" fontId="28" fillId="22" borderId="0" applyNumberFormat="0" applyBorder="0" applyAlignment="0" applyProtection="0">
      <alignment vertical="center"/>
    </xf>
    <xf numFmtId="0" fontId="28" fillId="22" borderId="0" applyNumberFormat="0" applyBorder="0" applyAlignment="0" applyProtection="0">
      <alignment vertical="center"/>
    </xf>
    <xf numFmtId="0" fontId="28" fillId="22" borderId="0" applyNumberFormat="0" applyBorder="0" applyAlignment="0" applyProtection="0">
      <alignment vertical="center"/>
    </xf>
    <xf numFmtId="9" fontId="21" fillId="0" borderId="0" applyFont="0" applyFill="0" applyBorder="0" applyAlignment="0" applyProtection="0">
      <alignment vertical="center"/>
    </xf>
    <xf numFmtId="9" fontId="21" fillId="0" borderId="0" applyFont="0" applyFill="0" applyBorder="0" applyAlignment="0" applyProtection="0">
      <alignment vertical="center"/>
    </xf>
    <xf numFmtId="0" fontId="29"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23" borderId="9" applyNumberFormat="0" applyFont="0" applyAlignment="0" applyProtection="0">
      <alignment vertical="center"/>
    </xf>
    <xf numFmtId="0" fontId="31" fillId="23" borderId="9" applyNumberFormat="0" applyFont="0" applyAlignment="0" applyProtection="0">
      <alignment vertical="center"/>
    </xf>
    <xf numFmtId="0" fontId="31" fillId="23" borderId="9" applyNumberFormat="0" applyFont="0" applyAlignment="0" applyProtection="0">
      <alignment vertical="center"/>
    </xf>
    <xf numFmtId="0" fontId="32" fillId="0" borderId="10" applyNumberFormat="0" applyFill="0" applyAlignment="0" applyProtection="0">
      <alignment vertical="center"/>
    </xf>
    <xf numFmtId="0" fontId="32" fillId="0" borderId="10" applyNumberFormat="0" applyFill="0" applyAlignment="0" applyProtection="0">
      <alignment vertical="center"/>
    </xf>
    <xf numFmtId="0" fontId="32" fillId="0" borderId="10" applyNumberFormat="0" applyFill="0" applyAlignment="0" applyProtection="0">
      <alignment vertical="center"/>
    </xf>
    <xf numFmtId="0" fontId="33" fillId="4" borderId="0" applyNumberFormat="0" applyBorder="0" applyAlignment="0" applyProtection="0">
      <alignment vertical="center"/>
    </xf>
    <xf numFmtId="0" fontId="33" fillId="4" borderId="0" applyNumberFormat="0" applyBorder="0" applyAlignment="0" applyProtection="0">
      <alignment vertical="center"/>
    </xf>
    <xf numFmtId="0" fontId="33" fillId="4" borderId="0" applyNumberFormat="0" applyBorder="0" applyAlignment="0" applyProtection="0">
      <alignment vertical="center"/>
    </xf>
    <xf numFmtId="0" fontId="34" fillId="24" borderId="11" applyNumberFormat="0" applyAlignment="0" applyProtection="0">
      <alignment vertical="center"/>
    </xf>
    <xf numFmtId="0" fontId="34" fillId="24" borderId="11" applyNumberFormat="0" applyAlignment="0" applyProtection="0">
      <alignment vertical="center"/>
    </xf>
    <xf numFmtId="0" fontId="34" fillId="24" borderId="11"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38" fontId="31" fillId="0" borderId="0" applyFont="0" applyFill="0" applyBorder="0" applyAlignment="0" applyProtection="0">
      <alignment vertical="center"/>
    </xf>
    <xf numFmtId="38" fontId="31" fillId="0" borderId="0" applyFont="0" applyFill="0" applyBorder="0" applyAlignment="0" applyProtection="0"/>
    <xf numFmtId="38" fontId="31" fillId="0" borderId="0" applyFont="0" applyFill="0" applyBorder="0" applyAlignment="0" applyProtection="0">
      <alignment vertical="center"/>
    </xf>
    <xf numFmtId="38" fontId="31" fillId="0" borderId="0" applyFont="0" applyFill="0" applyBorder="0" applyAlignment="0" applyProtection="0"/>
    <xf numFmtId="38" fontId="31" fillId="0" borderId="0" applyFont="0" applyFill="0" applyBorder="0" applyAlignment="0" applyProtection="0">
      <alignment vertical="center"/>
    </xf>
    <xf numFmtId="38" fontId="36" fillId="0" borderId="0" applyFont="0" applyFill="0" applyBorder="0" applyAlignment="0" applyProtection="0">
      <alignment vertical="center"/>
    </xf>
    <xf numFmtId="38" fontId="36" fillId="0" borderId="0" applyFont="0" applyFill="0" applyBorder="0" applyAlignment="0" applyProtection="0">
      <alignment vertical="center"/>
    </xf>
    <xf numFmtId="0" fontId="37" fillId="0" borderId="12" applyNumberFormat="0" applyFill="0" applyAlignment="0" applyProtection="0">
      <alignment vertical="center"/>
    </xf>
    <xf numFmtId="0" fontId="37" fillId="0" borderId="12" applyNumberFormat="0" applyFill="0" applyAlignment="0" applyProtection="0">
      <alignment vertical="center"/>
    </xf>
    <xf numFmtId="0" fontId="37" fillId="0" borderId="12" applyNumberFormat="0" applyFill="0" applyAlignment="0" applyProtection="0">
      <alignment vertical="center"/>
    </xf>
    <xf numFmtId="0" fontId="38" fillId="0" borderId="13" applyNumberFormat="0" applyFill="0" applyAlignment="0" applyProtection="0">
      <alignment vertical="center"/>
    </xf>
    <xf numFmtId="0" fontId="38" fillId="0" borderId="13" applyNumberFormat="0" applyFill="0" applyAlignment="0" applyProtection="0">
      <alignment vertical="center"/>
    </xf>
    <xf numFmtId="0" fontId="38" fillId="0" borderId="13" applyNumberFormat="0" applyFill="0" applyAlignment="0" applyProtection="0">
      <alignment vertical="center"/>
    </xf>
    <xf numFmtId="0" fontId="39" fillId="0" borderId="14" applyNumberFormat="0" applyFill="0" applyAlignment="0" applyProtection="0">
      <alignment vertical="center"/>
    </xf>
    <xf numFmtId="0" fontId="39" fillId="0" borderId="14" applyNumberFormat="0" applyFill="0" applyAlignment="0" applyProtection="0">
      <alignment vertical="center"/>
    </xf>
    <xf numFmtId="0" fontId="39" fillId="0" borderId="14" applyNumberFormat="0" applyFill="0" applyAlignment="0" applyProtection="0">
      <alignment vertical="center"/>
    </xf>
    <xf numFmtId="0" fontId="39"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15" applyNumberFormat="0" applyFill="0" applyAlignment="0" applyProtection="0">
      <alignment vertical="center"/>
    </xf>
    <xf numFmtId="0" fontId="40" fillId="0" borderId="15" applyNumberFormat="0" applyFill="0" applyAlignment="0" applyProtection="0">
      <alignment vertical="center"/>
    </xf>
    <xf numFmtId="0" fontId="40" fillId="0" borderId="15" applyNumberFormat="0" applyFill="0" applyAlignment="0" applyProtection="0">
      <alignment vertical="center"/>
    </xf>
    <xf numFmtId="0" fontId="41" fillId="24" borderId="16" applyNumberFormat="0" applyAlignment="0" applyProtection="0">
      <alignment vertical="center"/>
    </xf>
    <xf numFmtId="0" fontId="41" fillId="24" borderId="16" applyNumberFormat="0" applyAlignment="0" applyProtection="0">
      <alignment vertical="center"/>
    </xf>
    <xf numFmtId="0" fontId="41" fillId="24" borderId="16" applyNumberFormat="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56" fontId="43" fillId="0" borderId="0">
      <alignment horizontal="center"/>
    </xf>
    <xf numFmtId="0" fontId="44" fillId="8" borderId="11" applyNumberFormat="0" applyAlignment="0" applyProtection="0">
      <alignment vertical="center"/>
    </xf>
    <xf numFmtId="0" fontId="44" fillId="8" borderId="11" applyNumberFormat="0" applyAlignment="0" applyProtection="0">
      <alignment vertical="center"/>
    </xf>
    <xf numFmtId="0" fontId="44" fillId="8" borderId="11" applyNumberFormat="0" applyAlignment="0" applyProtection="0">
      <alignment vertical="center"/>
    </xf>
    <xf numFmtId="0" fontId="31" fillId="0" borderId="0">
      <alignment vertical="center"/>
    </xf>
    <xf numFmtId="0" fontId="31" fillId="0" borderId="0">
      <alignment vertical="center"/>
    </xf>
    <xf numFmtId="0" fontId="31" fillId="0" borderId="0">
      <alignment vertical="center"/>
    </xf>
    <xf numFmtId="0" fontId="31" fillId="0" borderId="0"/>
    <xf numFmtId="0" fontId="6" fillId="0" borderId="0"/>
    <xf numFmtId="0" fontId="6" fillId="0" borderId="0">
      <alignment vertical="center"/>
    </xf>
    <xf numFmtId="0" fontId="31" fillId="0" borderId="0">
      <alignment vertical="center"/>
    </xf>
    <xf numFmtId="0" fontId="45" fillId="0" borderId="0"/>
    <xf numFmtId="0" fontId="31" fillId="0" borderId="0">
      <alignment vertical="center"/>
    </xf>
    <xf numFmtId="0" fontId="6" fillId="0" borderId="0">
      <alignment vertical="center"/>
    </xf>
    <xf numFmtId="0" fontId="31" fillId="0" borderId="0">
      <alignment vertical="center"/>
    </xf>
    <xf numFmtId="0" fontId="31" fillId="0" borderId="0"/>
    <xf numFmtId="0" fontId="21" fillId="0" borderId="0"/>
    <xf numFmtId="0" fontId="6" fillId="0" borderId="0">
      <alignment vertical="center"/>
    </xf>
    <xf numFmtId="0" fontId="6" fillId="0" borderId="0"/>
    <xf numFmtId="0" fontId="31" fillId="0" borderId="0">
      <alignment vertical="center"/>
    </xf>
    <xf numFmtId="0" fontId="46" fillId="0" borderId="0">
      <alignment vertical="center"/>
    </xf>
    <xf numFmtId="0" fontId="36" fillId="0" borderId="0">
      <alignment vertical="center"/>
    </xf>
    <xf numFmtId="0" fontId="31" fillId="0" borderId="0">
      <alignment vertical="center"/>
    </xf>
    <xf numFmtId="0" fontId="31" fillId="0" borderId="0"/>
    <xf numFmtId="0" fontId="36" fillId="0" borderId="0">
      <alignment vertical="center"/>
    </xf>
    <xf numFmtId="0" fontId="21" fillId="0" borderId="0"/>
    <xf numFmtId="0" fontId="31" fillId="0" borderId="0">
      <alignment vertical="center"/>
    </xf>
    <xf numFmtId="0" fontId="31" fillId="0" borderId="0">
      <alignment vertical="center"/>
    </xf>
    <xf numFmtId="0" fontId="45" fillId="0" borderId="0"/>
    <xf numFmtId="0" fontId="6" fillId="0" borderId="0">
      <alignment vertical="center"/>
    </xf>
    <xf numFmtId="0" fontId="6" fillId="0" borderId="0">
      <alignment vertical="center"/>
    </xf>
    <xf numFmtId="0" fontId="31" fillId="0" borderId="0"/>
    <xf numFmtId="0" fontId="31" fillId="0" borderId="0">
      <alignment vertical="center"/>
    </xf>
    <xf numFmtId="0" fontId="31" fillId="0" borderId="0"/>
    <xf numFmtId="0" fontId="31" fillId="0" borderId="0"/>
    <xf numFmtId="0" fontId="6" fillId="0" borderId="0"/>
    <xf numFmtId="0" fontId="6" fillId="0" borderId="0"/>
    <xf numFmtId="0" fontId="31" fillId="0" borderId="0"/>
    <xf numFmtId="0" fontId="6" fillId="0" borderId="0">
      <alignment vertical="center"/>
    </xf>
    <xf numFmtId="0" fontId="1" fillId="0" borderId="0">
      <alignment vertical="center"/>
    </xf>
    <xf numFmtId="0" fontId="1" fillId="0" borderId="0">
      <alignment vertical="center"/>
    </xf>
    <xf numFmtId="0" fontId="1" fillId="0" borderId="0">
      <alignment vertical="center"/>
    </xf>
    <xf numFmtId="0" fontId="47" fillId="0" borderId="0"/>
    <xf numFmtId="0" fontId="21" fillId="0" borderId="0">
      <alignment vertical="center"/>
    </xf>
    <xf numFmtId="0" fontId="31" fillId="0" borderId="0">
      <alignment vertical="center"/>
    </xf>
    <xf numFmtId="0" fontId="21" fillId="0" borderId="0">
      <alignment vertical="center"/>
    </xf>
    <xf numFmtId="0" fontId="21" fillId="0" borderId="0">
      <alignment vertical="center"/>
    </xf>
    <xf numFmtId="0" fontId="31" fillId="0" borderId="0"/>
    <xf numFmtId="0" fontId="6" fillId="0" borderId="0">
      <alignment vertical="center"/>
    </xf>
    <xf numFmtId="0" fontId="31" fillId="0" borderId="0"/>
    <xf numFmtId="0" fontId="31" fillId="0" borderId="0">
      <alignment vertical="center"/>
    </xf>
    <xf numFmtId="0" fontId="21" fillId="0" borderId="0">
      <alignment vertical="center"/>
    </xf>
    <xf numFmtId="0" fontId="31" fillId="0" borderId="0"/>
    <xf numFmtId="0" fontId="21" fillId="0" borderId="0">
      <alignment vertical="center"/>
    </xf>
    <xf numFmtId="0" fontId="21" fillId="0" borderId="0">
      <alignment vertical="center"/>
    </xf>
    <xf numFmtId="0" fontId="6" fillId="0" borderId="0">
      <alignment vertical="center"/>
    </xf>
    <xf numFmtId="0" fontId="21" fillId="0" borderId="0">
      <alignment vertical="center"/>
    </xf>
    <xf numFmtId="0" fontId="6" fillId="0" borderId="0">
      <alignment vertical="center"/>
    </xf>
    <xf numFmtId="0" fontId="36" fillId="0" borderId="0">
      <alignment vertical="center"/>
    </xf>
    <xf numFmtId="0" fontId="45" fillId="0" borderId="0"/>
    <xf numFmtId="0" fontId="21" fillId="0" borderId="0">
      <alignment vertical="center"/>
    </xf>
    <xf numFmtId="0" fontId="31" fillId="0" borderId="0"/>
    <xf numFmtId="0" fontId="6" fillId="0" borderId="0">
      <alignment vertical="center"/>
    </xf>
    <xf numFmtId="0" fontId="21" fillId="0" borderId="0">
      <alignment vertical="center"/>
    </xf>
    <xf numFmtId="0" fontId="6" fillId="0" borderId="0">
      <alignment vertical="center"/>
    </xf>
    <xf numFmtId="0" fontId="31" fillId="0" borderId="0"/>
    <xf numFmtId="0" fontId="6" fillId="0" borderId="0">
      <alignment vertical="center"/>
    </xf>
    <xf numFmtId="0" fontId="6" fillId="0" borderId="0">
      <alignment vertical="center"/>
    </xf>
    <xf numFmtId="0" fontId="36" fillId="0" borderId="0">
      <alignment vertical="center"/>
    </xf>
    <xf numFmtId="0" fontId="31" fillId="0" borderId="0">
      <alignment vertical="center"/>
    </xf>
    <xf numFmtId="0" fontId="31" fillId="0" borderId="0">
      <alignment vertical="center"/>
    </xf>
    <xf numFmtId="0" fontId="6" fillId="0" borderId="0"/>
    <xf numFmtId="0" fontId="31" fillId="0" borderId="0">
      <alignment vertical="center"/>
    </xf>
    <xf numFmtId="0" fontId="6" fillId="0" borderId="0">
      <alignment vertical="center"/>
    </xf>
    <xf numFmtId="0" fontId="21" fillId="0" borderId="0">
      <alignment vertical="center"/>
    </xf>
    <xf numFmtId="0" fontId="6" fillId="0" borderId="0">
      <alignment vertical="center"/>
    </xf>
    <xf numFmtId="0" fontId="21" fillId="0" borderId="0">
      <alignment vertical="center"/>
    </xf>
    <xf numFmtId="0" fontId="36" fillId="0" borderId="0">
      <alignment vertical="center"/>
    </xf>
    <xf numFmtId="0" fontId="6" fillId="0" borderId="0">
      <alignment vertical="center"/>
    </xf>
    <xf numFmtId="0" fontId="21" fillId="0" borderId="0">
      <alignment vertical="center"/>
    </xf>
    <xf numFmtId="0" fontId="6" fillId="0" borderId="0">
      <alignment vertical="center"/>
    </xf>
    <xf numFmtId="0" fontId="6" fillId="0" borderId="0">
      <alignment vertical="center"/>
    </xf>
    <xf numFmtId="0" fontId="21" fillId="0" borderId="0">
      <alignment vertical="center"/>
    </xf>
    <xf numFmtId="0" fontId="6" fillId="0" borderId="0">
      <alignment vertical="center"/>
    </xf>
    <xf numFmtId="0" fontId="48" fillId="5" borderId="0" applyNumberFormat="0" applyBorder="0" applyAlignment="0" applyProtection="0">
      <alignment vertical="center"/>
    </xf>
    <xf numFmtId="0" fontId="48" fillId="5" borderId="0" applyNumberFormat="0" applyBorder="0" applyAlignment="0" applyProtection="0">
      <alignment vertical="center"/>
    </xf>
    <xf numFmtId="0" fontId="48" fillId="5" borderId="0" applyNumberFormat="0" applyBorder="0" applyAlignment="0" applyProtection="0">
      <alignment vertical="center"/>
    </xf>
    <xf numFmtId="38" fontId="31" fillId="0" borderId="0" applyFont="0" applyFill="0" applyBorder="0" applyAlignment="0" applyProtection="0"/>
    <xf numFmtId="40" fontId="31" fillId="0" borderId="0" applyFont="0" applyFill="0" applyBorder="0" applyAlignment="0" applyProtection="0"/>
    <xf numFmtId="6" fontId="31" fillId="0" borderId="0" applyFont="0" applyFill="0" applyBorder="0" applyAlignment="0" applyProtection="0"/>
    <xf numFmtId="8" fontId="31" fillId="0" borderId="0" applyFont="0" applyFill="0" applyBorder="0" applyAlignment="0" applyProtection="0"/>
    <xf numFmtId="0" fontId="31" fillId="0" borderId="0"/>
  </cellStyleXfs>
  <cellXfs count="124">
    <xf numFmtId="0" fontId="0" fillId="0" borderId="0" xfId="0"/>
    <xf numFmtId="0" fontId="3" fillId="0" borderId="0" xfId="0" applyFont="1"/>
    <xf numFmtId="0" fontId="4" fillId="0" borderId="0" xfId="0" applyFont="1"/>
    <xf numFmtId="0" fontId="5" fillId="0" borderId="0" xfId="1"/>
    <xf numFmtId="0" fontId="6" fillId="0" borderId="0" xfId="0" applyFont="1"/>
    <xf numFmtId="0" fontId="0" fillId="0" borderId="0" xfId="0" applyFont="1"/>
    <xf numFmtId="0" fontId="7" fillId="0" borderId="0" xfId="0" applyFont="1"/>
    <xf numFmtId="0" fontId="8" fillId="0" borderId="0" xfId="0" applyFont="1"/>
    <xf numFmtId="0" fontId="9" fillId="0" borderId="0" xfId="0" applyFont="1"/>
    <xf numFmtId="0" fontId="4" fillId="0" borderId="0" xfId="0" quotePrefix="1" applyFont="1"/>
    <xf numFmtId="0" fontId="0" fillId="0" borderId="1" xfId="0" applyBorder="1"/>
    <xf numFmtId="0" fontId="0" fillId="0" borderId="1" xfId="0" applyBorder="1" applyAlignment="1">
      <alignment horizontal="center"/>
    </xf>
    <xf numFmtId="0" fontId="0" fillId="0" borderId="2" xfId="0" applyBorder="1"/>
    <xf numFmtId="0" fontId="0" fillId="0" borderId="3" xfId="0" applyBorder="1"/>
    <xf numFmtId="0" fontId="0" fillId="0" borderId="4" xfId="0" applyBorder="1"/>
    <xf numFmtId="0" fontId="0" fillId="2" borderId="1" xfId="0" applyFill="1" applyBorder="1" applyAlignment="1">
      <alignment horizontal="center"/>
    </xf>
    <xf numFmtId="0" fontId="0" fillId="0" borderId="1" xfId="0" applyBorder="1" applyAlignment="1">
      <alignment wrapText="1"/>
    </xf>
    <xf numFmtId="0" fontId="0" fillId="0" borderId="0" xfId="0" applyAlignment="1">
      <alignment wrapText="1"/>
    </xf>
    <xf numFmtId="0" fontId="10" fillId="0" borderId="0" xfId="0" applyFont="1"/>
    <xf numFmtId="0" fontId="10" fillId="0" borderId="0" xfId="0" applyFont="1" applyAlignment="1">
      <alignment wrapText="1"/>
    </xf>
    <xf numFmtId="0" fontId="4" fillId="0" borderId="0" xfId="0" applyFont="1" applyFill="1"/>
    <xf numFmtId="0" fontId="10" fillId="0" borderId="0" xfId="0" applyFont="1" applyAlignment="1">
      <alignment horizontal="center" wrapText="1"/>
    </xf>
    <xf numFmtId="0" fontId="0" fillId="0" borderId="1" xfId="0" applyFill="1"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center" vertical="center"/>
    </xf>
    <xf numFmtId="0" fontId="11" fillId="0" borderId="0" xfId="0" applyFont="1" applyAlignment="1">
      <alignment wrapText="1"/>
    </xf>
    <xf numFmtId="0" fontId="10" fillId="0" borderId="0" xfId="0" applyFont="1" applyAlignment="1">
      <alignment horizontal="centerContinuous"/>
    </xf>
    <xf numFmtId="0" fontId="0" fillId="0" borderId="3" xfId="0" applyBorder="1" applyAlignment="1">
      <alignment wrapText="1"/>
    </xf>
    <xf numFmtId="0" fontId="0" fillId="2" borderId="1" xfId="0" applyFill="1" applyBorder="1" applyAlignment="1">
      <alignment horizontal="center" wrapText="1"/>
    </xf>
    <xf numFmtId="0" fontId="6" fillId="0" borderId="0" xfId="0" quotePrefix="1" applyFont="1"/>
    <xf numFmtId="0" fontId="12" fillId="0" borderId="0" xfId="0" applyFont="1"/>
    <xf numFmtId="0" fontId="13" fillId="0" borderId="0" xfId="0" applyFont="1"/>
    <xf numFmtId="0" fontId="14" fillId="0" borderId="0" xfId="0" applyFont="1"/>
    <xf numFmtId="176" fontId="11" fillId="0" borderId="0" xfId="0" applyNumberFormat="1" applyFont="1"/>
    <xf numFmtId="0" fontId="0" fillId="0" borderId="2" xfId="0" applyBorder="1" applyAlignment="1">
      <alignment horizontal="left"/>
    </xf>
    <xf numFmtId="0" fontId="6" fillId="0" borderId="1" xfId="0" applyFont="1" applyFill="1" applyBorder="1" applyAlignment="1">
      <alignment vertical="center" wrapText="1"/>
    </xf>
    <xf numFmtId="0" fontId="0" fillId="0" borderId="1" xfId="0" applyFont="1" applyFill="1" applyBorder="1" applyAlignment="1">
      <alignment horizontal="center" vertical="center" wrapText="1"/>
    </xf>
    <xf numFmtId="0" fontId="0" fillId="0" borderId="1" xfId="0" applyBorder="1" applyAlignment="1">
      <alignment horizontal="left" vertical="center"/>
    </xf>
    <xf numFmtId="0" fontId="0" fillId="0" borderId="1" xfId="0" applyBorder="1" applyAlignment="1">
      <alignment horizontal="left"/>
    </xf>
    <xf numFmtId="0" fontId="0" fillId="0" borderId="0" xfId="0" applyAlignment="1">
      <alignment vertical="center"/>
    </xf>
    <xf numFmtId="0" fontId="0" fillId="0" borderId="6" xfId="0" applyBorder="1"/>
    <xf numFmtId="0" fontId="0" fillId="0" borderId="0" xfId="0" applyBorder="1"/>
    <xf numFmtId="0" fontId="0" fillId="0" borderId="0" xfId="0" applyAlignment="1">
      <alignment horizontal="left"/>
    </xf>
    <xf numFmtId="0" fontId="0" fillId="2" borderId="1" xfId="0" applyFill="1" applyBorder="1" applyAlignment="1">
      <alignment horizontal="right"/>
    </xf>
    <xf numFmtId="0" fontId="0" fillId="0" borderId="0" xfId="0" applyAlignment="1">
      <alignment horizontal="right"/>
    </xf>
    <xf numFmtId="0" fontId="0" fillId="2" borderId="2" xfId="0" applyFill="1" applyBorder="1" applyAlignment="1">
      <alignment horizontal="right"/>
    </xf>
    <xf numFmtId="0" fontId="17" fillId="0" borderId="0" xfId="0" applyFont="1"/>
    <xf numFmtId="0" fontId="17" fillId="0" borderId="0" xfId="0" applyFont="1" applyAlignment="1">
      <alignment wrapText="1"/>
    </xf>
    <xf numFmtId="0" fontId="18" fillId="0" borderId="0" xfId="0" applyFont="1"/>
    <xf numFmtId="0" fontId="18" fillId="0" borderId="0" xfId="0" applyFont="1" applyAlignment="1">
      <alignment wrapText="1"/>
    </xf>
    <xf numFmtId="0" fontId="0" fillId="0" borderId="7" xfId="0" applyBorder="1"/>
    <xf numFmtId="0" fontId="4" fillId="0" borderId="1" xfId="0" applyFont="1" applyBorder="1"/>
    <xf numFmtId="0" fontId="6" fillId="0" borderId="1" xfId="0" applyFont="1" applyBorder="1"/>
    <xf numFmtId="0" fontId="19" fillId="0" borderId="0" xfId="0" applyFont="1"/>
    <xf numFmtId="0" fontId="21" fillId="0" borderId="0" xfId="2">
      <alignment vertical="center"/>
    </xf>
    <xf numFmtId="0" fontId="22" fillId="0" borderId="0" xfId="2" applyFont="1">
      <alignment vertical="center"/>
    </xf>
    <xf numFmtId="0" fontId="23" fillId="0" borderId="0" xfId="2" applyFont="1" applyFill="1">
      <alignment vertical="center"/>
    </xf>
    <xf numFmtId="0" fontId="22" fillId="2" borderId="1" xfId="2" applyFont="1" applyFill="1" applyBorder="1" applyAlignment="1">
      <alignment horizontal="center" vertical="center"/>
    </xf>
    <xf numFmtId="14" fontId="22" fillId="0" borderId="1" xfId="2" applyNumberFormat="1" applyFont="1" applyBorder="1" applyAlignment="1">
      <alignment horizontal="center" vertical="center"/>
    </xf>
    <xf numFmtId="0" fontId="22" fillId="0" borderId="1" xfId="2" applyFont="1" applyBorder="1" applyAlignment="1">
      <alignment horizontal="center" vertical="center"/>
    </xf>
    <xf numFmtId="0" fontId="22" fillId="0" borderId="1" xfId="2" applyFont="1" applyBorder="1">
      <alignment vertical="center"/>
    </xf>
    <xf numFmtId="0" fontId="22" fillId="0" borderId="1" xfId="2" applyFont="1" applyBorder="1" applyAlignment="1">
      <alignment vertical="center" wrapText="1"/>
    </xf>
    <xf numFmtId="0" fontId="49" fillId="0" borderId="0" xfId="0" applyFont="1"/>
    <xf numFmtId="0" fontId="50" fillId="0" borderId="0" xfId="0" applyFont="1"/>
    <xf numFmtId="0" fontId="51" fillId="0" borderId="0" xfId="0" applyFont="1"/>
    <xf numFmtId="0" fontId="52" fillId="0" borderId="0" xfId="0" applyFont="1"/>
    <xf numFmtId="0" fontId="53" fillId="0" borderId="0" xfId="0" applyFont="1"/>
    <xf numFmtId="0" fontId="0" fillId="0" borderId="0" xfId="0" quotePrefix="1"/>
    <xf numFmtId="0" fontId="54" fillId="0" borderId="0" xfId="0" applyFont="1"/>
    <xf numFmtId="0" fontId="55" fillId="0" borderId="0" xfId="0" applyFont="1"/>
    <xf numFmtId="0" fontId="9" fillId="0" borderId="0" xfId="0" quotePrefix="1" applyFont="1"/>
    <xf numFmtId="0" fontId="0" fillId="25" borderId="18" xfId="0" applyFill="1" applyBorder="1"/>
    <xf numFmtId="0" fontId="0" fillId="25" borderId="19" xfId="0" applyFill="1" applyBorder="1"/>
    <xf numFmtId="0" fontId="0" fillId="25" borderId="20" xfId="0" applyFill="1" applyBorder="1"/>
    <xf numFmtId="0" fontId="0" fillId="25" borderId="0" xfId="0" applyFill="1" applyBorder="1"/>
    <xf numFmtId="0" fontId="0" fillId="25" borderId="21" xfId="0" applyFill="1" applyBorder="1"/>
    <xf numFmtId="0" fontId="0" fillId="25" borderId="22" xfId="0" applyFill="1" applyBorder="1"/>
    <xf numFmtId="0" fontId="0" fillId="25" borderId="23" xfId="0" applyFill="1" applyBorder="1"/>
    <xf numFmtId="0" fontId="0" fillId="26" borderId="1" xfId="0" applyFill="1" applyBorder="1" applyAlignment="1">
      <alignment horizontal="right"/>
    </xf>
    <xf numFmtId="0" fontId="56" fillId="25" borderId="17" xfId="0" applyFont="1" applyFill="1" applyBorder="1"/>
    <xf numFmtId="0" fontId="0" fillId="28" borderId="19" xfId="0" applyFill="1" applyBorder="1"/>
    <xf numFmtId="0" fontId="0" fillId="28" borderId="20" xfId="0" applyFill="1" applyBorder="1"/>
    <xf numFmtId="0" fontId="0" fillId="28" borderId="21" xfId="0" applyFill="1" applyBorder="1"/>
    <xf numFmtId="0" fontId="0" fillId="28" borderId="22" xfId="0" applyFill="1" applyBorder="1"/>
    <xf numFmtId="0" fontId="0" fillId="28" borderId="24" xfId="0" applyFill="1" applyBorder="1"/>
    <xf numFmtId="0" fontId="57" fillId="28" borderId="17" xfId="0" applyFont="1" applyFill="1" applyBorder="1"/>
    <xf numFmtId="0" fontId="0" fillId="27" borderId="5" xfId="0" applyFill="1" applyBorder="1" applyAlignment="1" applyProtection="1">
      <alignment horizontal="center"/>
      <protection locked="0"/>
    </xf>
    <xf numFmtId="0" fontId="20" fillId="27" borderId="5" xfId="0" applyFont="1" applyFill="1" applyBorder="1" applyAlignment="1" applyProtection="1">
      <alignment horizontal="center"/>
      <protection locked="0"/>
    </xf>
    <xf numFmtId="0" fontId="58" fillId="0" borderId="0" xfId="0" applyFont="1"/>
    <xf numFmtId="0" fontId="20" fillId="0" borderId="0" xfId="0" applyFont="1"/>
    <xf numFmtId="0" fontId="59" fillId="0" borderId="0" xfId="0" applyFont="1"/>
    <xf numFmtId="0" fontId="60" fillId="0" borderId="0" xfId="0" applyFont="1"/>
    <xf numFmtId="0" fontId="0" fillId="0" borderId="0" xfId="0" applyAlignment="1">
      <alignment horizontal="center"/>
    </xf>
    <xf numFmtId="0" fontId="0" fillId="2" borderId="1" xfId="0" applyFill="1" applyBorder="1" applyAlignment="1">
      <alignment horizontal="centerContinuous"/>
    </xf>
    <xf numFmtId="0" fontId="0" fillId="0" borderId="0" xfId="0" applyAlignment="1">
      <alignment vertical="center" wrapText="1"/>
    </xf>
    <xf numFmtId="0" fontId="0" fillId="0" borderId="1" xfId="0" applyBorder="1" applyAlignment="1">
      <alignment horizontal="center" vertical="center" wrapText="1"/>
    </xf>
    <xf numFmtId="14" fontId="0" fillId="0" borderId="1" xfId="0" applyNumberFormat="1" applyBorder="1" applyAlignment="1">
      <alignment horizontal="center" vertical="center" wrapText="1"/>
    </xf>
    <xf numFmtId="0" fontId="0" fillId="25" borderId="23" xfId="0" applyFill="1" applyBorder="1" applyAlignment="1">
      <alignment horizontal="right"/>
    </xf>
    <xf numFmtId="0" fontId="0" fillId="27" borderId="17" xfId="0" applyFill="1" applyBorder="1"/>
    <xf numFmtId="0" fontId="0" fillId="27" borderId="18" xfId="0" applyFill="1" applyBorder="1"/>
    <xf numFmtId="0" fontId="0" fillId="27" borderId="20" xfId="0" applyFill="1" applyBorder="1"/>
    <xf numFmtId="0" fontId="0" fillId="27" borderId="0" xfId="0" applyFill="1" applyBorder="1"/>
    <xf numFmtId="0" fontId="0" fillId="29" borderId="18" xfId="0" applyFill="1" applyBorder="1"/>
    <xf numFmtId="0" fontId="0" fillId="29" borderId="19" xfId="0" applyFill="1" applyBorder="1"/>
    <xf numFmtId="0" fontId="0" fillId="29" borderId="20" xfId="0" applyFill="1" applyBorder="1"/>
    <xf numFmtId="0" fontId="0" fillId="29" borderId="0" xfId="0" applyFill="1" applyBorder="1"/>
    <xf numFmtId="0" fontId="0" fillId="29" borderId="21" xfId="0" applyFill="1" applyBorder="1"/>
    <xf numFmtId="0" fontId="0" fillId="29" borderId="22" xfId="0" applyFill="1" applyBorder="1"/>
    <xf numFmtId="0" fontId="0" fillId="29" borderId="25" xfId="0" applyFill="1" applyBorder="1" applyAlignment="1">
      <alignment horizontal="right"/>
    </xf>
    <xf numFmtId="0" fontId="0" fillId="29" borderId="25" xfId="0" applyFill="1" applyBorder="1"/>
    <xf numFmtId="0" fontId="0" fillId="29" borderId="23" xfId="0" applyFill="1" applyBorder="1"/>
    <xf numFmtId="0" fontId="0" fillId="29" borderId="24" xfId="0" applyFill="1" applyBorder="1"/>
    <xf numFmtId="0" fontId="61" fillId="29" borderId="17" xfId="0" applyFont="1" applyFill="1" applyBorder="1"/>
    <xf numFmtId="0" fontId="0" fillId="30" borderId="1" xfId="0" applyFill="1" applyBorder="1" applyAlignment="1">
      <alignment horizontal="right"/>
    </xf>
    <xf numFmtId="0" fontId="0" fillId="0" borderId="0" xfId="0" applyAlignment="1">
      <alignment horizontal="center" vertical="center"/>
    </xf>
    <xf numFmtId="0" fontId="0" fillId="27" borderId="1" xfId="0" applyFill="1" applyBorder="1" applyAlignment="1" applyProtection="1">
      <alignment horizontal="left"/>
      <protection locked="0"/>
    </xf>
    <xf numFmtId="14" fontId="0" fillId="27" borderId="1" xfId="0" applyNumberFormat="1" applyFill="1" applyBorder="1" applyAlignment="1" applyProtection="1">
      <alignment horizontal="left"/>
      <protection locked="0"/>
    </xf>
    <xf numFmtId="0" fontId="0" fillId="31" borderId="1" xfId="0" applyFill="1" applyBorder="1" applyAlignment="1" applyProtection="1">
      <alignment horizontal="left"/>
    </xf>
    <xf numFmtId="0" fontId="0" fillId="2" borderId="5" xfId="0" applyFill="1" applyBorder="1" applyAlignment="1">
      <alignment horizontal="center"/>
    </xf>
    <xf numFmtId="0" fontId="0" fillId="2" borderId="7" xfId="0" applyFill="1" applyBorder="1" applyAlignment="1">
      <alignment horizontal="center"/>
    </xf>
    <xf numFmtId="0" fontId="0" fillId="27" borderId="2" xfId="0" applyFill="1" applyBorder="1" applyAlignment="1" applyProtection="1">
      <alignment horizontal="left"/>
      <protection locked="0"/>
    </xf>
    <xf numFmtId="0" fontId="0" fillId="27" borderId="3" xfId="0" applyFill="1" applyBorder="1" applyAlignment="1" applyProtection="1">
      <alignment horizontal="left"/>
      <protection locked="0"/>
    </xf>
    <xf numFmtId="0" fontId="0" fillId="27" borderId="4" xfId="0" applyFill="1" applyBorder="1" applyAlignment="1" applyProtection="1">
      <alignment horizontal="left"/>
      <protection locked="0"/>
    </xf>
  </cellXfs>
  <cellStyles count="235">
    <cellStyle name="20% - アクセント 1 2" xfId="3" xr:uid="{00000000-0005-0000-0000-000000000000}"/>
    <cellStyle name="20% - アクセント 1 2 2" xfId="4" xr:uid="{00000000-0005-0000-0000-000001000000}"/>
    <cellStyle name="20% - アクセント 1 3" xfId="5" xr:uid="{00000000-0005-0000-0000-000002000000}"/>
    <cellStyle name="20% - アクセント 1 4" xfId="6" xr:uid="{00000000-0005-0000-0000-000003000000}"/>
    <cellStyle name="20% - アクセント 2 2" xfId="7" xr:uid="{00000000-0005-0000-0000-000004000000}"/>
    <cellStyle name="20% - アクセント 2 2 2" xfId="8" xr:uid="{00000000-0005-0000-0000-000005000000}"/>
    <cellStyle name="20% - アクセント 2 3" xfId="9" xr:uid="{00000000-0005-0000-0000-000006000000}"/>
    <cellStyle name="20% - アクセント 2 4" xfId="10" xr:uid="{00000000-0005-0000-0000-000007000000}"/>
    <cellStyle name="20% - アクセント 3 2" xfId="11" xr:uid="{00000000-0005-0000-0000-000008000000}"/>
    <cellStyle name="20% - アクセント 3 2 2" xfId="12" xr:uid="{00000000-0005-0000-0000-000009000000}"/>
    <cellStyle name="20% - アクセント 3 3" xfId="13" xr:uid="{00000000-0005-0000-0000-00000A000000}"/>
    <cellStyle name="20% - アクセント 3 4" xfId="14" xr:uid="{00000000-0005-0000-0000-00000B000000}"/>
    <cellStyle name="20% - アクセント 4 2" xfId="15" xr:uid="{00000000-0005-0000-0000-00000C000000}"/>
    <cellStyle name="20% - アクセント 4 2 2" xfId="16" xr:uid="{00000000-0005-0000-0000-00000D000000}"/>
    <cellStyle name="20% - アクセント 4 3" xfId="17" xr:uid="{00000000-0005-0000-0000-00000E000000}"/>
    <cellStyle name="20% - アクセント 4 4" xfId="18" xr:uid="{00000000-0005-0000-0000-00000F000000}"/>
    <cellStyle name="20% - アクセント 5 2" xfId="19" xr:uid="{00000000-0005-0000-0000-000010000000}"/>
    <cellStyle name="20% - アクセント 5 2 2" xfId="20" xr:uid="{00000000-0005-0000-0000-000011000000}"/>
    <cellStyle name="20% - アクセント 5 3" xfId="21" xr:uid="{00000000-0005-0000-0000-000012000000}"/>
    <cellStyle name="20% - アクセント 5 4" xfId="22" xr:uid="{00000000-0005-0000-0000-000013000000}"/>
    <cellStyle name="20% - アクセント 6 2" xfId="23" xr:uid="{00000000-0005-0000-0000-000014000000}"/>
    <cellStyle name="20% - アクセント 6 2 2" xfId="24" xr:uid="{00000000-0005-0000-0000-000015000000}"/>
    <cellStyle name="20% - アクセント 6 3" xfId="25" xr:uid="{00000000-0005-0000-0000-000016000000}"/>
    <cellStyle name="20% - アクセント 6 4" xfId="26" xr:uid="{00000000-0005-0000-0000-000017000000}"/>
    <cellStyle name="40% - アクセント 1 2" xfId="27" xr:uid="{00000000-0005-0000-0000-000018000000}"/>
    <cellStyle name="40% - アクセント 1 2 2" xfId="28" xr:uid="{00000000-0005-0000-0000-000019000000}"/>
    <cellStyle name="40% - アクセント 1 3" xfId="29" xr:uid="{00000000-0005-0000-0000-00001A000000}"/>
    <cellStyle name="40% - アクセント 1 4" xfId="30" xr:uid="{00000000-0005-0000-0000-00001B000000}"/>
    <cellStyle name="40% - アクセント 2 2" xfId="31" xr:uid="{00000000-0005-0000-0000-00001C000000}"/>
    <cellStyle name="40% - アクセント 2 2 2" xfId="32" xr:uid="{00000000-0005-0000-0000-00001D000000}"/>
    <cellStyle name="40% - アクセント 2 3" xfId="33" xr:uid="{00000000-0005-0000-0000-00001E000000}"/>
    <cellStyle name="40% - アクセント 2 4" xfId="34" xr:uid="{00000000-0005-0000-0000-00001F000000}"/>
    <cellStyle name="40% - アクセント 3 2" xfId="35" xr:uid="{00000000-0005-0000-0000-000020000000}"/>
    <cellStyle name="40% - アクセント 3 2 2" xfId="36" xr:uid="{00000000-0005-0000-0000-000021000000}"/>
    <cellStyle name="40% - アクセント 3 3" xfId="37" xr:uid="{00000000-0005-0000-0000-000022000000}"/>
    <cellStyle name="40% - アクセント 3 4" xfId="38" xr:uid="{00000000-0005-0000-0000-000023000000}"/>
    <cellStyle name="40% - アクセント 4 2" xfId="39" xr:uid="{00000000-0005-0000-0000-000024000000}"/>
    <cellStyle name="40% - アクセント 4 2 2" xfId="40" xr:uid="{00000000-0005-0000-0000-000025000000}"/>
    <cellStyle name="40% - アクセント 4 3" xfId="41" xr:uid="{00000000-0005-0000-0000-000026000000}"/>
    <cellStyle name="40% - アクセント 4 4" xfId="42" xr:uid="{00000000-0005-0000-0000-000027000000}"/>
    <cellStyle name="40% - アクセント 5 2" xfId="43" xr:uid="{00000000-0005-0000-0000-000028000000}"/>
    <cellStyle name="40% - アクセント 5 2 2" xfId="44" xr:uid="{00000000-0005-0000-0000-000029000000}"/>
    <cellStyle name="40% - アクセント 5 3" xfId="45" xr:uid="{00000000-0005-0000-0000-00002A000000}"/>
    <cellStyle name="40% - アクセント 5 4" xfId="46" xr:uid="{00000000-0005-0000-0000-00002B000000}"/>
    <cellStyle name="40% - アクセント 6 2" xfId="47" xr:uid="{00000000-0005-0000-0000-00002C000000}"/>
    <cellStyle name="40% - アクセント 6 2 2" xfId="48" xr:uid="{00000000-0005-0000-0000-00002D000000}"/>
    <cellStyle name="40% - アクセント 6 3" xfId="49" xr:uid="{00000000-0005-0000-0000-00002E000000}"/>
    <cellStyle name="40% - アクセント 6 4" xfId="50" xr:uid="{00000000-0005-0000-0000-00002F000000}"/>
    <cellStyle name="60% - アクセント 1 2" xfId="51" xr:uid="{00000000-0005-0000-0000-000030000000}"/>
    <cellStyle name="60% - アクセント 1 3" xfId="52" xr:uid="{00000000-0005-0000-0000-000031000000}"/>
    <cellStyle name="60% - アクセント 1 4" xfId="53" xr:uid="{00000000-0005-0000-0000-000032000000}"/>
    <cellStyle name="60% - アクセント 2 2" xfId="54" xr:uid="{00000000-0005-0000-0000-000033000000}"/>
    <cellStyle name="60% - アクセント 2 3" xfId="55" xr:uid="{00000000-0005-0000-0000-000034000000}"/>
    <cellStyle name="60% - アクセント 2 4" xfId="56" xr:uid="{00000000-0005-0000-0000-000035000000}"/>
    <cellStyle name="60% - アクセント 3 2" xfId="57" xr:uid="{00000000-0005-0000-0000-000036000000}"/>
    <cellStyle name="60% - アクセント 3 3" xfId="58" xr:uid="{00000000-0005-0000-0000-000037000000}"/>
    <cellStyle name="60% - アクセント 3 4" xfId="59" xr:uid="{00000000-0005-0000-0000-000038000000}"/>
    <cellStyle name="60% - アクセント 4 2" xfId="60" xr:uid="{00000000-0005-0000-0000-000039000000}"/>
    <cellStyle name="60% - アクセント 4 3" xfId="61" xr:uid="{00000000-0005-0000-0000-00003A000000}"/>
    <cellStyle name="60% - アクセント 4 4" xfId="62" xr:uid="{00000000-0005-0000-0000-00003B000000}"/>
    <cellStyle name="60% - アクセント 5 2" xfId="63" xr:uid="{00000000-0005-0000-0000-00003C000000}"/>
    <cellStyle name="60% - アクセント 5 3" xfId="64" xr:uid="{00000000-0005-0000-0000-00003D000000}"/>
    <cellStyle name="60% - アクセント 5 4" xfId="65" xr:uid="{00000000-0005-0000-0000-00003E000000}"/>
    <cellStyle name="60% - アクセント 6 2" xfId="66" xr:uid="{00000000-0005-0000-0000-00003F000000}"/>
    <cellStyle name="60% - アクセント 6 3" xfId="67" xr:uid="{00000000-0005-0000-0000-000040000000}"/>
    <cellStyle name="60% - アクセント 6 4" xfId="68" xr:uid="{00000000-0005-0000-0000-000041000000}"/>
    <cellStyle name="アクセント 1 2" xfId="69" xr:uid="{00000000-0005-0000-0000-000042000000}"/>
    <cellStyle name="アクセント 1 3" xfId="70" xr:uid="{00000000-0005-0000-0000-000043000000}"/>
    <cellStyle name="アクセント 1 4" xfId="71" xr:uid="{00000000-0005-0000-0000-000044000000}"/>
    <cellStyle name="アクセント 2 2" xfId="72" xr:uid="{00000000-0005-0000-0000-000045000000}"/>
    <cellStyle name="アクセント 2 3" xfId="73" xr:uid="{00000000-0005-0000-0000-000046000000}"/>
    <cellStyle name="アクセント 2 4" xfId="74" xr:uid="{00000000-0005-0000-0000-000047000000}"/>
    <cellStyle name="アクセント 3 2" xfId="75" xr:uid="{00000000-0005-0000-0000-000048000000}"/>
    <cellStyle name="アクセント 3 3" xfId="76" xr:uid="{00000000-0005-0000-0000-000049000000}"/>
    <cellStyle name="アクセント 3 4" xfId="77" xr:uid="{00000000-0005-0000-0000-00004A000000}"/>
    <cellStyle name="アクセント 4 2" xfId="78" xr:uid="{00000000-0005-0000-0000-00004B000000}"/>
    <cellStyle name="アクセント 4 3" xfId="79" xr:uid="{00000000-0005-0000-0000-00004C000000}"/>
    <cellStyle name="アクセント 4 4" xfId="80" xr:uid="{00000000-0005-0000-0000-00004D000000}"/>
    <cellStyle name="アクセント 5 2" xfId="81" xr:uid="{00000000-0005-0000-0000-00004E000000}"/>
    <cellStyle name="アクセント 5 3" xfId="82" xr:uid="{00000000-0005-0000-0000-00004F000000}"/>
    <cellStyle name="アクセント 5 4" xfId="83" xr:uid="{00000000-0005-0000-0000-000050000000}"/>
    <cellStyle name="アクセント 6 2" xfId="84" xr:uid="{00000000-0005-0000-0000-000051000000}"/>
    <cellStyle name="アクセント 6 3" xfId="85" xr:uid="{00000000-0005-0000-0000-000052000000}"/>
    <cellStyle name="アクセント 6 4" xfId="86" xr:uid="{00000000-0005-0000-0000-000053000000}"/>
    <cellStyle name="タイトル 2" xfId="87" xr:uid="{00000000-0005-0000-0000-000054000000}"/>
    <cellStyle name="タイトル 3" xfId="88" xr:uid="{00000000-0005-0000-0000-000055000000}"/>
    <cellStyle name="タイトル 4" xfId="89" xr:uid="{00000000-0005-0000-0000-000056000000}"/>
    <cellStyle name="チェック セル 2" xfId="90" xr:uid="{00000000-0005-0000-0000-000057000000}"/>
    <cellStyle name="チェック セル 3" xfId="91" xr:uid="{00000000-0005-0000-0000-000058000000}"/>
    <cellStyle name="チェック セル 4" xfId="92" xr:uid="{00000000-0005-0000-0000-000059000000}"/>
    <cellStyle name="どちらでもない 2" xfId="93" xr:uid="{00000000-0005-0000-0000-00005A000000}"/>
    <cellStyle name="どちらでもない 3" xfId="94" xr:uid="{00000000-0005-0000-0000-00005B000000}"/>
    <cellStyle name="どちらでもない 4" xfId="95" xr:uid="{00000000-0005-0000-0000-00005C000000}"/>
    <cellStyle name="パーセント 2" xfId="96" xr:uid="{00000000-0005-0000-0000-00005D000000}"/>
    <cellStyle name="パーセント 2 2" xfId="97" xr:uid="{00000000-0005-0000-0000-00005E000000}"/>
    <cellStyle name="ハイパーリンク" xfId="1" builtinId="8"/>
    <cellStyle name="ハイパーリンク 2" xfId="98" xr:uid="{00000000-0005-0000-0000-000060000000}"/>
    <cellStyle name="ハイパーリンク 3" xfId="99" xr:uid="{00000000-0005-0000-0000-000061000000}"/>
    <cellStyle name="メモ 2" xfId="100" xr:uid="{00000000-0005-0000-0000-000062000000}"/>
    <cellStyle name="メモ 3" xfId="101" xr:uid="{00000000-0005-0000-0000-000063000000}"/>
    <cellStyle name="メモ 4" xfId="102" xr:uid="{00000000-0005-0000-0000-000064000000}"/>
    <cellStyle name="リンク セル 2" xfId="103" xr:uid="{00000000-0005-0000-0000-000065000000}"/>
    <cellStyle name="リンク セル 3" xfId="104" xr:uid="{00000000-0005-0000-0000-000066000000}"/>
    <cellStyle name="リンク セル 4" xfId="105" xr:uid="{00000000-0005-0000-0000-000067000000}"/>
    <cellStyle name="悪い 2" xfId="106" xr:uid="{00000000-0005-0000-0000-000068000000}"/>
    <cellStyle name="悪い 3" xfId="107" xr:uid="{00000000-0005-0000-0000-000069000000}"/>
    <cellStyle name="悪い 4" xfId="108" xr:uid="{00000000-0005-0000-0000-00006A000000}"/>
    <cellStyle name="計算 2" xfId="109" xr:uid="{00000000-0005-0000-0000-00006B000000}"/>
    <cellStyle name="計算 3" xfId="110" xr:uid="{00000000-0005-0000-0000-00006C000000}"/>
    <cellStyle name="計算 4" xfId="111" xr:uid="{00000000-0005-0000-0000-00006D000000}"/>
    <cellStyle name="警告文 2" xfId="112" xr:uid="{00000000-0005-0000-0000-00006E000000}"/>
    <cellStyle name="警告文 3" xfId="113" xr:uid="{00000000-0005-0000-0000-00006F000000}"/>
    <cellStyle name="警告文 4" xfId="114" xr:uid="{00000000-0005-0000-0000-000070000000}"/>
    <cellStyle name="桁区切り 2" xfId="115" xr:uid="{00000000-0005-0000-0000-000071000000}"/>
    <cellStyle name="桁区切り 2 2" xfId="116" xr:uid="{00000000-0005-0000-0000-000072000000}"/>
    <cellStyle name="桁区切り 2 3" xfId="117" xr:uid="{00000000-0005-0000-0000-000073000000}"/>
    <cellStyle name="桁区切り 2 4" xfId="118" xr:uid="{00000000-0005-0000-0000-000074000000}"/>
    <cellStyle name="桁区切り 3" xfId="119" xr:uid="{00000000-0005-0000-0000-000075000000}"/>
    <cellStyle name="桁区切り 4" xfId="120" xr:uid="{00000000-0005-0000-0000-000076000000}"/>
    <cellStyle name="桁区切り 5" xfId="121" xr:uid="{00000000-0005-0000-0000-000077000000}"/>
    <cellStyle name="見出し 1 2" xfId="122" xr:uid="{00000000-0005-0000-0000-000078000000}"/>
    <cellStyle name="見出し 1 3" xfId="123" xr:uid="{00000000-0005-0000-0000-000079000000}"/>
    <cellStyle name="見出し 1 4" xfId="124" xr:uid="{00000000-0005-0000-0000-00007A000000}"/>
    <cellStyle name="見出し 2 2" xfId="125" xr:uid="{00000000-0005-0000-0000-00007B000000}"/>
    <cellStyle name="見出し 2 3" xfId="126" xr:uid="{00000000-0005-0000-0000-00007C000000}"/>
    <cellStyle name="見出し 2 4" xfId="127" xr:uid="{00000000-0005-0000-0000-00007D000000}"/>
    <cellStyle name="見出し 3 2" xfId="128" xr:uid="{00000000-0005-0000-0000-00007E000000}"/>
    <cellStyle name="見出し 3 3" xfId="129" xr:uid="{00000000-0005-0000-0000-00007F000000}"/>
    <cellStyle name="見出し 3 4" xfId="130" xr:uid="{00000000-0005-0000-0000-000080000000}"/>
    <cellStyle name="見出し 4 2" xfId="131" xr:uid="{00000000-0005-0000-0000-000081000000}"/>
    <cellStyle name="見出し 4 3" xfId="132" xr:uid="{00000000-0005-0000-0000-000082000000}"/>
    <cellStyle name="見出し 4 4" xfId="133" xr:uid="{00000000-0005-0000-0000-000083000000}"/>
    <cellStyle name="集計 2" xfId="134" xr:uid="{00000000-0005-0000-0000-000084000000}"/>
    <cellStyle name="集計 3" xfId="135" xr:uid="{00000000-0005-0000-0000-000085000000}"/>
    <cellStyle name="集計 4" xfId="136" xr:uid="{00000000-0005-0000-0000-000086000000}"/>
    <cellStyle name="出力 2" xfId="137" xr:uid="{00000000-0005-0000-0000-000087000000}"/>
    <cellStyle name="出力 3" xfId="138" xr:uid="{00000000-0005-0000-0000-000088000000}"/>
    <cellStyle name="出力 4" xfId="139" xr:uid="{00000000-0005-0000-0000-000089000000}"/>
    <cellStyle name="説明文 2" xfId="140" xr:uid="{00000000-0005-0000-0000-00008A000000}"/>
    <cellStyle name="説明文 3" xfId="141" xr:uid="{00000000-0005-0000-0000-00008B000000}"/>
    <cellStyle name="説明文 4" xfId="142" xr:uid="{00000000-0005-0000-0000-00008C000000}"/>
    <cellStyle name="日付" xfId="143" xr:uid="{00000000-0005-0000-0000-00008D000000}"/>
    <cellStyle name="入力 2" xfId="144" xr:uid="{00000000-0005-0000-0000-00008E000000}"/>
    <cellStyle name="入力 3" xfId="145" xr:uid="{00000000-0005-0000-0000-00008F000000}"/>
    <cellStyle name="入力 4" xfId="146" xr:uid="{00000000-0005-0000-0000-000090000000}"/>
    <cellStyle name="標準" xfId="0" builtinId="0"/>
    <cellStyle name="標準 10" xfId="147" xr:uid="{00000000-0005-0000-0000-000092000000}"/>
    <cellStyle name="標準 11" xfId="148" xr:uid="{00000000-0005-0000-0000-000093000000}"/>
    <cellStyle name="標準 12" xfId="149" xr:uid="{00000000-0005-0000-0000-000094000000}"/>
    <cellStyle name="標準 13" xfId="150" xr:uid="{00000000-0005-0000-0000-000095000000}"/>
    <cellStyle name="標準 13 2" xfId="151" xr:uid="{00000000-0005-0000-0000-000096000000}"/>
    <cellStyle name="標準 13 3" xfId="152" xr:uid="{00000000-0005-0000-0000-000097000000}"/>
    <cellStyle name="標準 14" xfId="153" xr:uid="{00000000-0005-0000-0000-000098000000}"/>
    <cellStyle name="標準 14 2" xfId="154" xr:uid="{00000000-0005-0000-0000-000099000000}"/>
    <cellStyle name="標準 14 3" xfId="155" xr:uid="{00000000-0005-0000-0000-00009A000000}"/>
    <cellStyle name="標準 14 4" xfId="156" xr:uid="{00000000-0005-0000-0000-00009B000000}"/>
    <cellStyle name="標準 14 5" xfId="157" xr:uid="{00000000-0005-0000-0000-00009C000000}"/>
    <cellStyle name="標準 15" xfId="158" xr:uid="{00000000-0005-0000-0000-00009D000000}"/>
    <cellStyle name="標準 15 2" xfId="159" xr:uid="{00000000-0005-0000-0000-00009E000000}"/>
    <cellStyle name="標準 15 3" xfId="160" xr:uid="{00000000-0005-0000-0000-00009F000000}"/>
    <cellStyle name="標準 15 4" xfId="161" xr:uid="{00000000-0005-0000-0000-0000A0000000}"/>
    <cellStyle name="標準 16" xfId="162" xr:uid="{00000000-0005-0000-0000-0000A1000000}"/>
    <cellStyle name="標準 16 2" xfId="163" xr:uid="{00000000-0005-0000-0000-0000A2000000}"/>
    <cellStyle name="標準 16 3" xfId="164" xr:uid="{00000000-0005-0000-0000-0000A3000000}"/>
    <cellStyle name="標準 17" xfId="165" xr:uid="{00000000-0005-0000-0000-0000A4000000}"/>
    <cellStyle name="標準 18" xfId="166" xr:uid="{00000000-0005-0000-0000-0000A5000000}"/>
    <cellStyle name="標準 19" xfId="167" xr:uid="{00000000-0005-0000-0000-0000A6000000}"/>
    <cellStyle name="標準 2" xfId="168" xr:uid="{00000000-0005-0000-0000-0000A7000000}"/>
    <cellStyle name="標準 2 2" xfId="169" xr:uid="{00000000-0005-0000-0000-0000A8000000}"/>
    <cellStyle name="標準 2 2 2" xfId="170" xr:uid="{00000000-0005-0000-0000-0000A9000000}"/>
    <cellStyle name="標準 2 2_R&amp;D結合試験項目書_12A,D,F,G,H,J,M_ﾘﾝﾌﾟﾎｰﾑの導入a" xfId="171" xr:uid="{00000000-0005-0000-0000-0000AA000000}"/>
    <cellStyle name="標準 2 3" xfId="172" xr:uid="{00000000-0005-0000-0000-0000AB000000}"/>
    <cellStyle name="標準 2 3 2" xfId="2" xr:uid="{00000000-0005-0000-0000-0000AC000000}"/>
    <cellStyle name="標準 2 3 2 2" xfId="173" xr:uid="{00000000-0005-0000-0000-0000AD000000}"/>
    <cellStyle name="標準 2 4" xfId="174" xr:uid="{00000000-0005-0000-0000-0000AE000000}"/>
    <cellStyle name="標準 2 4 2" xfId="175" xr:uid="{00000000-0005-0000-0000-0000AF000000}"/>
    <cellStyle name="標準 2 4 3" xfId="176" xr:uid="{00000000-0005-0000-0000-0000B0000000}"/>
    <cellStyle name="標準 2 5" xfId="177" xr:uid="{00000000-0005-0000-0000-0000B1000000}"/>
    <cellStyle name="標準 2 6" xfId="178" xr:uid="{00000000-0005-0000-0000-0000B2000000}"/>
    <cellStyle name="標準 2 7" xfId="179" xr:uid="{00000000-0005-0000-0000-0000B3000000}"/>
    <cellStyle name="標準 2_IF確認観点補足" xfId="180" xr:uid="{00000000-0005-0000-0000-0000B4000000}"/>
    <cellStyle name="標準 20" xfId="181" xr:uid="{00000000-0005-0000-0000-0000B5000000}"/>
    <cellStyle name="標準 21" xfId="182" xr:uid="{00000000-0005-0000-0000-0000B6000000}"/>
    <cellStyle name="標準 22" xfId="183" xr:uid="{00000000-0005-0000-0000-0000B7000000}"/>
    <cellStyle name="標準 23" xfId="184" xr:uid="{00000000-0005-0000-0000-0000B8000000}"/>
    <cellStyle name="標準 24" xfId="185" xr:uid="{00000000-0005-0000-0000-0000B9000000}"/>
    <cellStyle name="標準 3" xfId="186" xr:uid="{00000000-0005-0000-0000-0000BA000000}"/>
    <cellStyle name="標準 3 2" xfId="187" xr:uid="{00000000-0005-0000-0000-0000BB000000}"/>
    <cellStyle name="標準 3 3" xfId="188" xr:uid="{00000000-0005-0000-0000-0000BC000000}"/>
    <cellStyle name="標準 3 3 2" xfId="189" xr:uid="{00000000-0005-0000-0000-0000BD000000}"/>
    <cellStyle name="標準 3 3 3" xfId="190" xr:uid="{00000000-0005-0000-0000-0000BE000000}"/>
    <cellStyle name="標準 3 4" xfId="191" xr:uid="{00000000-0005-0000-0000-0000BF000000}"/>
    <cellStyle name="標準 3 5" xfId="192" xr:uid="{00000000-0005-0000-0000-0000C0000000}"/>
    <cellStyle name="標準 3_IF確認観点補足" xfId="193" xr:uid="{00000000-0005-0000-0000-0000C1000000}"/>
    <cellStyle name="標準 4" xfId="194" xr:uid="{00000000-0005-0000-0000-0000C2000000}"/>
    <cellStyle name="標準 4 2" xfId="195" xr:uid="{00000000-0005-0000-0000-0000C3000000}"/>
    <cellStyle name="標準 4 3" xfId="196" xr:uid="{00000000-0005-0000-0000-0000C4000000}"/>
    <cellStyle name="標準 4 3 2" xfId="197" xr:uid="{00000000-0005-0000-0000-0000C5000000}"/>
    <cellStyle name="標準 4 4" xfId="198" xr:uid="{00000000-0005-0000-0000-0000C6000000}"/>
    <cellStyle name="標準 4 4 2" xfId="199" xr:uid="{00000000-0005-0000-0000-0000C7000000}"/>
    <cellStyle name="標準 4 4 2 2" xfId="200" xr:uid="{00000000-0005-0000-0000-0000C8000000}"/>
    <cellStyle name="標準 4 4 3" xfId="201" xr:uid="{00000000-0005-0000-0000-0000C9000000}"/>
    <cellStyle name="標準 4 5" xfId="202" xr:uid="{00000000-0005-0000-0000-0000CA000000}"/>
    <cellStyle name="標準 4_BullAPL構成設計書" xfId="203" xr:uid="{00000000-0005-0000-0000-0000CB000000}"/>
    <cellStyle name="標準 5" xfId="204" xr:uid="{00000000-0005-0000-0000-0000CC000000}"/>
    <cellStyle name="標準 5 2" xfId="205" xr:uid="{00000000-0005-0000-0000-0000CD000000}"/>
    <cellStyle name="標準 5 2 2" xfId="206" xr:uid="{00000000-0005-0000-0000-0000CE000000}"/>
    <cellStyle name="標準 5 2 2 2" xfId="207" xr:uid="{00000000-0005-0000-0000-0000CF000000}"/>
    <cellStyle name="標準 5 3" xfId="208" xr:uid="{00000000-0005-0000-0000-0000D0000000}"/>
    <cellStyle name="標準 5 4" xfId="209" xr:uid="{00000000-0005-0000-0000-0000D1000000}"/>
    <cellStyle name="標準 5 4 2" xfId="210" xr:uid="{00000000-0005-0000-0000-0000D2000000}"/>
    <cellStyle name="標準 5 4 3" xfId="211" xr:uid="{00000000-0005-0000-0000-0000D3000000}"/>
    <cellStyle name="標準 6" xfId="212" xr:uid="{00000000-0005-0000-0000-0000D4000000}"/>
    <cellStyle name="標準 6 2" xfId="213" xr:uid="{00000000-0005-0000-0000-0000D5000000}"/>
    <cellStyle name="標準 6 3" xfId="214" xr:uid="{00000000-0005-0000-0000-0000D6000000}"/>
    <cellStyle name="標準 6 4" xfId="215" xr:uid="{00000000-0005-0000-0000-0000D7000000}"/>
    <cellStyle name="標準 7" xfId="216" xr:uid="{00000000-0005-0000-0000-0000D8000000}"/>
    <cellStyle name="標準 7 2" xfId="217" xr:uid="{00000000-0005-0000-0000-0000D9000000}"/>
    <cellStyle name="標準 7 2 2" xfId="218" xr:uid="{00000000-0005-0000-0000-0000DA000000}"/>
    <cellStyle name="標準 7 3" xfId="219" xr:uid="{00000000-0005-0000-0000-0000DB000000}"/>
    <cellStyle name="標準 7 4" xfId="220" xr:uid="{00000000-0005-0000-0000-0000DC000000}"/>
    <cellStyle name="標準 8" xfId="221" xr:uid="{00000000-0005-0000-0000-0000DD000000}"/>
    <cellStyle name="標準 8 2" xfId="222" xr:uid="{00000000-0005-0000-0000-0000DE000000}"/>
    <cellStyle name="標準 8 2 2" xfId="223" xr:uid="{00000000-0005-0000-0000-0000DF000000}"/>
    <cellStyle name="標準 9" xfId="224" xr:uid="{00000000-0005-0000-0000-0000E0000000}"/>
    <cellStyle name="標準 9 2" xfId="225" xr:uid="{00000000-0005-0000-0000-0000E1000000}"/>
    <cellStyle name="標準 9 2 2" xfId="226" xr:uid="{00000000-0005-0000-0000-0000E2000000}"/>
    <cellStyle name="良い 2" xfId="227" xr:uid="{00000000-0005-0000-0000-0000E3000000}"/>
    <cellStyle name="良い 3" xfId="228" xr:uid="{00000000-0005-0000-0000-0000E4000000}"/>
    <cellStyle name="良い 4" xfId="229" xr:uid="{00000000-0005-0000-0000-0000E5000000}"/>
    <cellStyle name="콤마 [0]_PPEI3.2_confirmation_031226" xfId="230" xr:uid="{00000000-0005-0000-0000-0000E6000000}"/>
    <cellStyle name="콤마_PPEI3.2_confirmation_031226" xfId="231" xr:uid="{00000000-0005-0000-0000-0000E7000000}"/>
    <cellStyle name="통화 [0]_PPEI3.2_confirmation_031226" xfId="232" xr:uid="{00000000-0005-0000-0000-0000E8000000}"/>
    <cellStyle name="통화_PPEI3.2_confirmation_031226" xfId="233" xr:uid="{00000000-0005-0000-0000-0000E9000000}"/>
    <cellStyle name="표준_PPEI3.2_confirmation_031226" xfId="234" xr:uid="{00000000-0005-0000-0000-0000EA000000}"/>
  </cellStyles>
  <dxfs count="2">
    <dxf>
      <fill>
        <patternFill>
          <bgColor theme="0" tint="-0.499984740745262"/>
        </patternFill>
      </fill>
    </dxf>
    <dxf>
      <fill>
        <patternFill>
          <bgColor theme="0"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36</xdr:row>
      <xdr:rowOff>71664</xdr:rowOff>
    </xdr:from>
    <xdr:to>
      <xdr:col>23</xdr:col>
      <xdr:colOff>0</xdr:colOff>
      <xdr:row>52</xdr:row>
      <xdr:rowOff>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9200" y="8025039"/>
          <a:ext cx="5791200" cy="26715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295275</xdr:colOff>
      <xdr:row>75</xdr:row>
      <xdr:rowOff>114301</xdr:rowOff>
    </xdr:from>
    <xdr:to>
      <xdr:col>26</xdr:col>
      <xdr:colOff>999</xdr:colOff>
      <xdr:row>96</xdr:row>
      <xdr:rowOff>38101</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81675" y="13039726"/>
          <a:ext cx="2144124" cy="3524250"/>
        </a:xfrm>
        <a:prstGeom prst="rect">
          <a:avLst/>
        </a:prstGeom>
      </xdr:spPr>
    </xdr:pic>
    <xdr:clientData/>
  </xdr:twoCellAnchor>
  <xdr:oneCellAnchor>
    <xdr:from>
      <xdr:col>4</xdr:col>
      <xdr:colOff>228601</xdr:colOff>
      <xdr:row>75</xdr:row>
      <xdr:rowOff>0</xdr:rowOff>
    </xdr:from>
    <xdr:ext cx="1133333" cy="2880000"/>
    <xdr:pic>
      <xdr:nvPicPr>
        <xdr:cNvPr id="3" name="図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84" b="11044"/>
        <a:stretch/>
      </xdr:blipFill>
      <xdr:spPr>
        <a:xfrm>
          <a:off x="838201" y="13096875"/>
          <a:ext cx="1133333" cy="2880000"/>
        </a:xfrm>
        <a:prstGeom prst="rect">
          <a:avLst/>
        </a:prstGeom>
      </xdr:spPr>
    </xdr:pic>
    <xdr:clientData/>
  </xdr:oneCellAnchor>
  <xdr:oneCellAnchor>
    <xdr:from>
      <xdr:col>10</xdr:col>
      <xdr:colOff>266701</xdr:colOff>
      <xdr:row>75</xdr:row>
      <xdr:rowOff>9814</xdr:rowOff>
    </xdr:from>
    <xdr:ext cx="1085714" cy="2914286"/>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705101" y="13106689"/>
          <a:ext cx="1085714" cy="2914286"/>
        </a:xfrm>
        <a:prstGeom prst="rect">
          <a:avLst/>
        </a:prstGeom>
      </xdr:spPr>
    </xdr:pic>
    <xdr:clientData/>
  </xdr:oneCellAnchor>
  <xdr:twoCellAnchor>
    <xdr:from>
      <xdr:col>14</xdr:col>
      <xdr:colOff>1</xdr:colOff>
      <xdr:row>84</xdr:row>
      <xdr:rowOff>76125</xdr:rowOff>
    </xdr:from>
    <xdr:to>
      <xdr:col>18</xdr:col>
      <xdr:colOff>257176</xdr:colOff>
      <xdr:row>88</xdr:row>
      <xdr:rowOff>9450</xdr:rowOff>
    </xdr:to>
    <xdr:sp macro="" textlink="">
      <xdr:nvSpPr>
        <xdr:cNvPr id="5" name="右矢印 4">
          <a:extLst>
            <a:ext uri="{FF2B5EF4-FFF2-40B4-BE49-F238E27FC236}">
              <a16:creationId xmlns:a16="http://schemas.microsoft.com/office/drawing/2014/main" id="{00000000-0008-0000-0200-000005000000}"/>
            </a:ext>
          </a:extLst>
        </xdr:cNvPr>
        <xdr:cNvSpPr/>
      </xdr:nvSpPr>
      <xdr:spPr>
        <a:xfrm>
          <a:off x="3962401" y="15058950"/>
          <a:ext cx="1476375" cy="619125"/>
        </a:xfrm>
        <a:prstGeom prst="rightArrow">
          <a:avLst/>
        </a:prstGeom>
        <a:solidFill>
          <a:srgbClr val="FF0000">
            <a:alpha val="2200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(B)</a:t>
          </a:r>
          <a:endParaRPr kumimoji="1" lang="ja-JP" altLang="en-US" sz="1100">
            <a:solidFill>
              <a:sysClr val="windowText" lastClr="000000"/>
            </a:solidFill>
          </a:endParaRPr>
        </a:p>
      </xdr:txBody>
    </xdr:sp>
    <xdr:clientData/>
  </xdr:twoCellAnchor>
  <xdr:twoCellAnchor>
    <xdr:from>
      <xdr:col>13</xdr:col>
      <xdr:colOff>276226</xdr:colOff>
      <xdr:row>87</xdr:row>
      <xdr:rowOff>161850</xdr:rowOff>
    </xdr:from>
    <xdr:to>
      <xdr:col>18</xdr:col>
      <xdr:colOff>180976</xdr:colOff>
      <xdr:row>91</xdr:row>
      <xdr:rowOff>95175</xdr:rowOff>
    </xdr:to>
    <xdr:sp macro="" textlink="">
      <xdr:nvSpPr>
        <xdr:cNvPr id="6" name="右矢印 5">
          <a:extLst>
            <a:ext uri="{FF2B5EF4-FFF2-40B4-BE49-F238E27FC236}">
              <a16:creationId xmlns:a16="http://schemas.microsoft.com/office/drawing/2014/main" id="{00000000-0008-0000-0200-000006000000}"/>
            </a:ext>
          </a:extLst>
        </xdr:cNvPr>
        <xdr:cNvSpPr/>
      </xdr:nvSpPr>
      <xdr:spPr>
        <a:xfrm flipH="1">
          <a:off x="3933826" y="15659025"/>
          <a:ext cx="1428750" cy="619125"/>
        </a:xfrm>
        <a:prstGeom prst="rightArrow">
          <a:avLst/>
        </a:prstGeom>
        <a:solidFill>
          <a:srgbClr val="0070C0">
            <a:alpha val="3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(C)</a:t>
          </a:r>
          <a:endParaRPr kumimoji="1" lang="ja-JP" altLang="en-US" sz="1100">
            <a:solidFill>
              <a:sysClr val="windowText" lastClr="000000"/>
            </a:solidFill>
          </a:endParaRPr>
        </a:p>
      </xdr:txBody>
    </xdr:sp>
    <xdr:clientData/>
  </xdr:twoCellAnchor>
  <xdr:twoCellAnchor>
    <xdr:from>
      <xdr:col>7</xdr:col>
      <xdr:colOff>76201</xdr:colOff>
      <xdr:row>86</xdr:row>
      <xdr:rowOff>9450</xdr:rowOff>
    </xdr:from>
    <xdr:to>
      <xdr:col>11</xdr:col>
      <xdr:colOff>38101</xdr:colOff>
      <xdr:row>89</xdr:row>
      <xdr:rowOff>114225</xdr:rowOff>
    </xdr:to>
    <xdr:sp macro="" textlink="">
      <xdr:nvSpPr>
        <xdr:cNvPr id="7" name="右矢印 6">
          <a:extLst>
            <a:ext uri="{FF2B5EF4-FFF2-40B4-BE49-F238E27FC236}">
              <a16:creationId xmlns:a16="http://schemas.microsoft.com/office/drawing/2014/main" id="{00000000-0008-0000-0200-000007000000}"/>
            </a:ext>
          </a:extLst>
        </xdr:cNvPr>
        <xdr:cNvSpPr/>
      </xdr:nvSpPr>
      <xdr:spPr>
        <a:xfrm>
          <a:off x="1600201" y="14992275"/>
          <a:ext cx="1181100" cy="619125"/>
        </a:xfrm>
        <a:prstGeom prst="rightArrow">
          <a:avLst/>
        </a:prstGeom>
        <a:solidFill>
          <a:schemeClr val="accent4">
            <a:lumMod val="60000"/>
            <a:lumOff val="40000"/>
            <a:alpha val="29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(A)</a:t>
          </a:r>
          <a:endParaRPr kumimoji="1" lang="ja-JP" altLang="en-US" sz="1100">
            <a:solidFill>
              <a:sysClr val="windowText" lastClr="000000"/>
            </a:solidFill>
          </a:endParaRPr>
        </a:p>
      </xdr:txBody>
    </xdr:sp>
    <xdr:clientData/>
  </xdr:twoCellAnchor>
  <xdr:twoCellAnchor>
    <xdr:from>
      <xdr:col>3</xdr:col>
      <xdr:colOff>142876</xdr:colOff>
      <xdr:row>92</xdr:row>
      <xdr:rowOff>9450</xdr:rowOff>
    </xdr:from>
    <xdr:to>
      <xdr:col>13</xdr:col>
      <xdr:colOff>266702</xdr:colOff>
      <xdr:row>103</xdr:row>
      <xdr:rowOff>9526</xdr:rowOff>
    </xdr:to>
    <xdr:sp macro="" textlink="">
      <xdr:nvSpPr>
        <xdr:cNvPr id="8" name="テキスト ボックス 7">
          <a:extLst>
            <a:ext uri="{FF2B5EF4-FFF2-40B4-BE49-F238E27FC236}">
              <a16:creationId xmlns:a16="http://schemas.microsoft.com/office/drawing/2014/main" id="{00000000-0008-0000-0200-000008000000}"/>
            </a:ext>
          </a:extLst>
        </xdr:cNvPr>
        <xdr:cNvSpPr txBox="1"/>
      </xdr:nvSpPr>
      <xdr:spPr>
        <a:xfrm>
          <a:off x="752476" y="16020975"/>
          <a:ext cx="3171826" cy="1886026"/>
        </a:xfrm>
        <a:prstGeom prst="rect">
          <a:avLst/>
        </a:prstGeom>
        <a:solidFill>
          <a:schemeClr val="accent4">
            <a:lumMod val="60000"/>
            <a:lumOff val="40000"/>
            <a:alpha val="29000"/>
          </a:schemeClr>
        </a:solidFill>
        <a:ln w="9525" cmpd="sng">
          <a:solidFill>
            <a:schemeClr val="accent4">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1">
              <a:solidFill>
                <a:sysClr val="windowText" lastClr="000000"/>
              </a:solidFill>
            </a:rPr>
            <a:t>&lt;&lt;</a:t>
          </a:r>
          <a:r>
            <a:rPr kumimoji="1" lang="ja-JP" altLang="en-US" sz="1100" b="1">
              <a:solidFill>
                <a:sysClr val="windowText" lastClr="000000"/>
              </a:solidFill>
            </a:rPr>
            <a:t>単体試験</a:t>
          </a:r>
          <a:r>
            <a:rPr kumimoji="1" lang="en-US" altLang="ja-JP" sz="1100" b="1">
              <a:solidFill>
                <a:sysClr val="windowText" lastClr="000000"/>
              </a:solidFill>
            </a:rPr>
            <a:t>&gt;&gt;</a:t>
          </a:r>
        </a:p>
        <a:p>
          <a:r>
            <a:rPr kumimoji="1" lang="ja-JP" altLang="en-US" sz="1100">
              <a:solidFill>
                <a:sysClr val="windowText" lastClr="000000"/>
              </a:solidFill>
            </a:rPr>
            <a:t>・テスト報告書、</a:t>
          </a:r>
          <a:r>
            <a:rPr kumimoji="1" lang="en-US" altLang="ja-JP" sz="1100">
              <a:solidFill>
                <a:sysClr val="windowText" lastClr="000000"/>
              </a:solidFill>
            </a:rPr>
            <a:t>csv</a:t>
          </a:r>
          <a:r>
            <a:rPr kumimoji="1" lang="ja-JP" altLang="en-US" sz="1100">
              <a:solidFill>
                <a:sysClr val="windowText" lastClr="000000"/>
              </a:solidFill>
            </a:rPr>
            <a:t>、</a:t>
          </a:r>
          <a:r>
            <a:rPr kumimoji="1" lang="en-US" altLang="ja-JP" sz="1100">
              <a:solidFill>
                <a:sysClr val="windowText" lastClr="000000"/>
              </a:solidFill>
            </a:rPr>
            <a:t>txt </a:t>
          </a:r>
          <a:r>
            <a:rPr kumimoji="1" lang="ja-JP" altLang="en-US" sz="1100">
              <a:solidFill>
                <a:sysClr val="windowText" lastClr="000000"/>
              </a:solidFill>
            </a:rPr>
            <a:t>が漏れなく存在するか。</a:t>
          </a:r>
          <a:endParaRPr kumimoji="1" lang="en-US" altLang="ja-JP" sz="1100">
            <a:solidFill>
              <a:sysClr val="windowText" lastClr="000000"/>
            </a:solidFill>
          </a:endParaRPr>
        </a:p>
        <a:p>
          <a:r>
            <a:rPr kumimoji="1" lang="ja-JP" altLang="en-US" sz="1100">
              <a:solidFill>
                <a:sysClr val="windowText" lastClr="000000"/>
              </a:solidFill>
            </a:rPr>
            <a:t>・</a:t>
          </a:r>
          <a:r>
            <a:rPr kumimoji="1" lang="en-US" altLang="ja-JP" sz="1100">
              <a:solidFill>
                <a:sysClr val="windowText" lastClr="000000"/>
              </a:solidFill>
            </a:rPr>
            <a:t>csv </a:t>
          </a:r>
          <a:r>
            <a:rPr kumimoji="1" lang="ja-JP" altLang="en-US" sz="1100">
              <a:solidFill>
                <a:sysClr val="windowText" lastClr="000000"/>
              </a:solidFill>
            </a:rPr>
            <a:t>ファイルが</a:t>
          </a:r>
          <a:r>
            <a:rPr kumimoji="1" lang="en-US" altLang="ja-JP" sz="1100">
              <a:solidFill>
                <a:sysClr val="windowText" lastClr="000000"/>
              </a:solidFill>
            </a:rPr>
            <a:t>[</a:t>
          </a:r>
          <a:r>
            <a:rPr kumimoji="1" lang="ja-JP" altLang="en-US" sz="1100">
              <a:solidFill>
                <a:sysClr val="windowText" lastClr="000000"/>
              </a:solidFill>
            </a:rPr>
            <a:t>関数名</a:t>
          </a:r>
          <a:r>
            <a:rPr kumimoji="1" lang="en-US" altLang="ja-JP" sz="1100">
              <a:solidFill>
                <a:sysClr val="windowText" lastClr="000000"/>
              </a:solidFill>
            </a:rPr>
            <a:t>]_[</a:t>
          </a:r>
          <a:r>
            <a:rPr kumimoji="1" lang="ja-JP" altLang="en-US" sz="1100">
              <a:solidFill>
                <a:sysClr val="windowText" lastClr="000000"/>
              </a:solidFill>
            </a:rPr>
            <a:t>項番</a:t>
          </a:r>
          <a:r>
            <a:rPr kumimoji="1" lang="en-US" altLang="ja-JP" sz="1100">
              <a:solidFill>
                <a:sysClr val="windowText" lastClr="000000"/>
              </a:solidFill>
            </a:rPr>
            <a:t>].csv </a:t>
          </a:r>
          <a:r>
            <a:rPr kumimoji="1" lang="ja-JP" altLang="en-US" sz="1100">
              <a:solidFill>
                <a:sysClr val="windowText" lastClr="000000"/>
              </a:solidFill>
            </a:rPr>
            <a:t>になっているか</a:t>
          </a:r>
          <a:endParaRPr kumimoji="1" lang="en-US" altLang="ja-JP" sz="1100">
            <a:solidFill>
              <a:sysClr val="windowText" lastClr="000000"/>
            </a:solidFill>
          </a:endParaRPr>
        </a:p>
        <a:p>
          <a:r>
            <a:rPr kumimoji="1" lang="ja-JP" altLang="en-US" sz="1100">
              <a:solidFill>
                <a:sysClr val="windowText" lastClr="000000"/>
              </a:solidFill>
            </a:rPr>
            <a:t>・</a:t>
          </a:r>
          <a:r>
            <a:rPr kumimoji="1" lang="en-US" altLang="ja-JP" sz="1100">
              <a:solidFill>
                <a:sysClr val="windowText" lastClr="000000"/>
              </a:solidFill>
            </a:rPr>
            <a:t>txt</a:t>
          </a:r>
          <a:r>
            <a:rPr kumimoji="1" lang="en-US" altLang="ja-JP" sz="1100" baseline="0">
              <a:solidFill>
                <a:sysClr val="windowText" lastClr="000000"/>
              </a:solidFill>
            </a:rPr>
            <a:t> </a:t>
          </a:r>
          <a:r>
            <a:rPr kumimoji="1" lang="ja-JP" altLang="en-US" sz="1100" baseline="0">
              <a:solidFill>
                <a:sysClr val="windowText" lastClr="000000"/>
              </a:solidFill>
            </a:rPr>
            <a:t>ファイルが</a:t>
          </a:r>
          <a:r>
            <a:rPr kumimoji="1" lang="en-US" altLang="ja-JP" sz="1100" baseline="0">
              <a:solidFill>
                <a:sysClr val="windowText" lastClr="000000"/>
              </a:solidFill>
            </a:rPr>
            <a:t>[</a:t>
          </a:r>
          <a:r>
            <a:rPr kumimoji="1" lang="ja-JP" altLang="en-US" sz="1100" baseline="0">
              <a:solidFill>
                <a:sysClr val="windowText" lastClr="000000"/>
              </a:solidFill>
            </a:rPr>
            <a:t>関数名</a:t>
          </a:r>
          <a:r>
            <a:rPr kumimoji="1" lang="en-US" altLang="ja-JP" sz="1100" baseline="0">
              <a:solidFill>
                <a:sysClr val="windowText" lastClr="000000"/>
              </a:solidFill>
            </a:rPr>
            <a:t>].txt </a:t>
          </a:r>
          <a:r>
            <a:rPr kumimoji="1" lang="ja-JP" altLang="en-US" sz="1100" baseline="0">
              <a:solidFill>
                <a:sysClr val="windowText" lastClr="000000"/>
              </a:solidFill>
            </a:rPr>
            <a:t>になっているか。</a:t>
          </a:r>
          <a:endParaRPr kumimoji="1" lang="en-US" altLang="ja-JP" sz="1100" baseline="0">
            <a:solidFill>
              <a:sysClr val="windowText" lastClr="000000"/>
            </a:solidFill>
          </a:endParaRPr>
        </a:p>
        <a:p>
          <a:endParaRPr kumimoji="1" lang="en-US" altLang="ja-JP" sz="1100" baseline="0">
            <a:solidFill>
              <a:sysClr val="windowText" lastClr="000000"/>
            </a:solidFill>
          </a:endParaRPr>
        </a:p>
        <a:p>
          <a:r>
            <a:rPr kumimoji="1" lang="en-US" altLang="ja-JP" sz="1100" b="1" baseline="0">
              <a:solidFill>
                <a:sysClr val="windowText" lastClr="000000"/>
              </a:solidFill>
            </a:rPr>
            <a:t>&lt;&lt;</a:t>
          </a:r>
          <a:r>
            <a:rPr kumimoji="1" lang="ja-JP" altLang="en-US" sz="1100" b="1" baseline="0">
              <a:solidFill>
                <a:sysClr val="windowText" lastClr="000000"/>
              </a:solidFill>
            </a:rPr>
            <a:t>結合・機能・システム試験</a:t>
          </a:r>
          <a:r>
            <a:rPr kumimoji="1" lang="en-US" altLang="ja-JP" sz="1100" b="1" baseline="0">
              <a:solidFill>
                <a:sysClr val="windowText" lastClr="000000"/>
              </a:solidFill>
            </a:rPr>
            <a:t>&gt;&gt;</a:t>
          </a:r>
        </a:p>
        <a:p>
          <a:r>
            <a:rPr kumimoji="1" lang="ja-JP" altLang="en-US" sz="1100" baseline="0">
              <a:solidFill>
                <a:sysClr val="windowText" lastClr="000000"/>
              </a:solidFill>
            </a:rPr>
            <a:t>・項番とファイル名が一致しているか。</a:t>
          </a:r>
          <a:endParaRPr kumimoji="1" lang="en-US" altLang="ja-JP" sz="1100" baseline="0">
            <a:solidFill>
              <a:sysClr val="windowText" lastClr="000000"/>
            </a:solidFill>
          </a:endParaRPr>
        </a:p>
        <a:p>
          <a:r>
            <a:rPr kumimoji="1" lang="ja-JP" altLang="en-US" sz="1100" baseline="0">
              <a:solidFill>
                <a:sysClr val="windowText" lastClr="000000"/>
              </a:solidFill>
            </a:rPr>
            <a:t>（一致しない場合は、警告を出すのみ）</a:t>
          </a:r>
          <a:endParaRPr kumimoji="1" lang="en-US" altLang="ja-JP" sz="1100" baseline="0">
            <a:solidFill>
              <a:sysClr val="windowText" lastClr="000000"/>
            </a:solidFill>
          </a:endParaRPr>
        </a:p>
      </xdr:txBody>
    </xdr:sp>
    <xdr:clientData/>
  </xdr:twoCellAnchor>
  <xdr:twoCellAnchor>
    <xdr:from>
      <xdr:col>14</xdr:col>
      <xdr:colOff>133351</xdr:colOff>
      <xdr:row>79</xdr:row>
      <xdr:rowOff>85725</xdr:rowOff>
    </xdr:from>
    <xdr:to>
      <xdr:col>18</xdr:col>
      <xdr:colOff>104777</xdr:colOff>
      <xdr:row>83</xdr:row>
      <xdr:rowOff>123750</xdr:rowOff>
    </xdr:to>
    <xdr:sp macro="" textlink="">
      <xdr:nvSpPr>
        <xdr:cNvPr id="9" name="テキスト ボックス 8">
          <a:extLst>
            <a:ext uri="{FF2B5EF4-FFF2-40B4-BE49-F238E27FC236}">
              <a16:creationId xmlns:a16="http://schemas.microsoft.com/office/drawing/2014/main" id="{00000000-0008-0000-0200-000009000000}"/>
            </a:ext>
          </a:extLst>
        </xdr:cNvPr>
        <xdr:cNvSpPr txBox="1"/>
      </xdr:nvSpPr>
      <xdr:spPr>
        <a:xfrm>
          <a:off x="4095751" y="14211300"/>
          <a:ext cx="1190626" cy="723825"/>
        </a:xfrm>
        <a:prstGeom prst="rect">
          <a:avLst/>
        </a:prstGeom>
        <a:solidFill>
          <a:srgbClr val="FF0000">
            <a:alpha val="22000"/>
          </a:srgb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ysClr val="windowText" lastClr="000000"/>
              </a:solidFill>
            </a:rPr>
            <a:t>ログファイルが存在するか。</a:t>
          </a:r>
          <a:endParaRPr kumimoji="1" lang="en-US" altLang="ja-JP" sz="1100">
            <a:solidFill>
              <a:sysClr val="windowText" lastClr="000000"/>
            </a:solidFill>
          </a:endParaRPr>
        </a:p>
        <a:p>
          <a:r>
            <a:rPr kumimoji="1" lang="en-US" altLang="ja-JP" sz="1100">
              <a:solidFill>
                <a:sysClr val="windowText" lastClr="000000"/>
              </a:solidFill>
            </a:rPr>
            <a:t>(</a:t>
          </a:r>
          <a:r>
            <a:rPr kumimoji="1" lang="ja-JP" altLang="en-US" sz="1100">
              <a:solidFill>
                <a:sysClr val="windowText" lastClr="000000"/>
              </a:solidFill>
            </a:rPr>
            <a:t>不足チェック）</a:t>
          </a:r>
          <a:endParaRPr kumimoji="1" lang="en-US" altLang="ja-JP" sz="1100">
            <a:solidFill>
              <a:sysClr val="windowText" lastClr="000000"/>
            </a:solidFill>
          </a:endParaRPr>
        </a:p>
      </xdr:txBody>
    </xdr:sp>
    <xdr:clientData/>
  </xdr:twoCellAnchor>
  <xdr:twoCellAnchor>
    <xdr:from>
      <xdr:col>14</xdr:col>
      <xdr:colOff>114301</xdr:colOff>
      <xdr:row>91</xdr:row>
      <xdr:rowOff>133275</xdr:rowOff>
    </xdr:from>
    <xdr:to>
      <xdr:col>18</xdr:col>
      <xdr:colOff>152401</xdr:colOff>
      <xdr:row>95</xdr:row>
      <xdr:rowOff>152400</xdr:rowOff>
    </xdr:to>
    <xdr:sp macro="" textlink="">
      <xdr:nvSpPr>
        <xdr:cNvPr id="10" name="テキスト ボックス 9">
          <a:extLst>
            <a:ext uri="{FF2B5EF4-FFF2-40B4-BE49-F238E27FC236}">
              <a16:creationId xmlns:a16="http://schemas.microsoft.com/office/drawing/2014/main" id="{00000000-0008-0000-0200-00000A000000}"/>
            </a:ext>
          </a:extLst>
        </xdr:cNvPr>
        <xdr:cNvSpPr txBox="1"/>
      </xdr:nvSpPr>
      <xdr:spPr>
        <a:xfrm>
          <a:off x="4076701" y="16316250"/>
          <a:ext cx="1257300" cy="704925"/>
        </a:xfrm>
        <a:prstGeom prst="rect">
          <a:avLst/>
        </a:prstGeom>
        <a:solidFill>
          <a:srgbClr val="0070C0">
            <a:alpha val="36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ysClr val="windowText" lastClr="000000"/>
              </a:solidFill>
            </a:rPr>
            <a:t>ログファイルが記載されているか。</a:t>
          </a:r>
          <a:endParaRPr kumimoji="1" lang="en-US" altLang="ja-JP" sz="1100">
            <a:solidFill>
              <a:sysClr val="windowText" lastClr="000000"/>
            </a:solidFill>
          </a:endParaRPr>
        </a:p>
        <a:p>
          <a:r>
            <a:rPr kumimoji="1" lang="ja-JP" altLang="en-US" sz="1100">
              <a:solidFill>
                <a:sysClr val="windowText" lastClr="000000"/>
              </a:solidFill>
            </a:rPr>
            <a:t>（余分チェック）</a:t>
          </a:r>
          <a:endParaRPr kumimoji="1" lang="en-US" altLang="ja-JP" sz="1100">
            <a:solidFill>
              <a:sysClr val="windowText" lastClr="000000"/>
            </a:solidFill>
          </a:endParaRPr>
        </a:p>
      </xdr:txBody>
    </xdr:sp>
    <xdr:clientData/>
  </xdr:twoCellAnchor>
  <xdr:twoCellAnchor>
    <xdr:from>
      <xdr:col>7</xdr:col>
      <xdr:colOff>38100</xdr:colOff>
      <xdr:row>74</xdr:row>
      <xdr:rowOff>38100</xdr:rowOff>
    </xdr:from>
    <xdr:to>
      <xdr:col>13</xdr:col>
      <xdr:colOff>0</xdr:colOff>
      <xdr:row>76</xdr:row>
      <xdr:rowOff>38100</xdr:rowOff>
    </xdr:to>
    <xdr:sp macro="" textlink="">
      <xdr:nvSpPr>
        <xdr:cNvPr id="11" name="テキスト ボックス 10">
          <a:extLst>
            <a:ext uri="{FF2B5EF4-FFF2-40B4-BE49-F238E27FC236}">
              <a16:creationId xmlns:a16="http://schemas.microsoft.com/office/drawing/2014/main" id="{00000000-0008-0000-0200-00000B000000}"/>
            </a:ext>
          </a:extLst>
        </xdr:cNvPr>
        <xdr:cNvSpPr txBox="1"/>
      </xdr:nvSpPr>
      <xdr:spPr>
        <a:xfrm>
          <a:off x="2171700" y="12792075"/>
          <a:ext cx="1790700" cy="342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kumimoji="1" lang="ja-JP" altLang="en-US" sz="1100" b="1"/>
            <a:t>試験項目書</a:t>
          </a:r>
          <a:r>
            <a:rPr kumimoji="1" lang="en-US" altLang="ja-JP" sz="1100" b="1"/>
            <a:t> Excel</a:t>
          </a:r>
          <a:r>
            <a:rPr kumimoji="1" lang="ja-JP" altLang="en-US" sz="1100" b="1"/>
            <a:t>ファイル</a:t>
          </a:r>
        </a:p>
      </xdr:txBody>
    </xdr:sp>
    <xdr:clientData/>
  </xdr:twoCellAnchor>
  <xdr:twoCellAnchor>
    <xdr:from>
      <xdr:col>17</xdr:col>
      <xdr:colOff>190500</xdr:colOff>
      <xdr:row>74</xdr:row>
      <xdr:rowOff>0</xdr:rowOff>
    </xdr:from>
    <xdr:to>
      <xdr:col>24</xdr:col>
      <xdr:colOff>57150</xdr:colOff>
      <xdr:row>76</xdr:row>
      <xdr:rowOff>0</xdr:rowOff>
    </xdr:to>
    <xdr:sp macro="" textlink="">
      <xdr:nvSpPr>
        <xdr:cNvPr id="12" name="テキスト ボックス 11">
          <a:extLst>
            <a:ext uri="{FF2B5EF4-FFF2-40B4-BE49-F238E27FC236}">
              <a16:creationId xmlns:a16="http://schemas.microsoft.com/office/drawing/2014/main" id="{00000000-0008-0000-0200-00000C000000}"/>
            </a:ext>
          </a:extLst>
        </xdr:cNvPr>
        <xdr:cNvSpPr txBox="1"/>
      </xdr:nvSpPr>
      <xdr:spPr>
        <a:xfrm>
          <a:off x="5067300" y="13096875"/>
          <a:ext cx="2000250" cy="342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kumimoji="1" lang="ja-JP" altLang="en-US" sz="1100" b="1"/>
            <a:t>ログファイル格納先フォルダ</a:t>
          </a:r>
        </a:p>
      </xdr:txBody>
    </xdr:sp>
    <xdr:clientData/>
  </xdr:twoCellAnchor>
  <xdr:twoCellAnchor>
    <xdr:from>
      <xdr:col>20</xdr:col>
      <xdr:colOff>0</xdr:colOff>
      <xdr:row>33</xdr:row>
      <xdr:rowOff>0</xdr:rowOff>
    </xdr:from>
    <xdr:to>
      <xdr:col>39</xdr:col>
      <xdr:colOff>0</xdr:colOff>
      <xdr:row>46</xdr:row>
      <xdr:rowOff>0</xdr:rowOff>
    </xdr:to>
    <xdr:sp macro="" textlink="">
      <xdr:nvSpPr>
        <xdr:cNvPr id="13" name="角丸四角形吹き出し 12">
          <a:extLst>
            <a:ext uri="{FF2B5EF4-FFF2-40B4-BE49-F238E27FC236}">
              <a16:creationId xmlns:a16="http://schemas.microsoft.com/office/drawing/2014/main" id="{00000000-0008-0000-0200-00000D000000}"/>
            </a:ext>
          </a:extLst>
        </xdr:cNvPr>
        <xdr:cNvSpPr/>
      </xdr:nvSpPr>
      <xdr:spPr>
        <a:xfrm>
          <a:off x="6096000" y="5724525"/>
          <a:ext cx="5791200" cy="2228850"/>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twoCellAnchor>
    <xdr:from>
      <xdr:col>20</xdr:col>
      <xdr:colOff>0</xdr:colOff>
      <xdr:row>46</xdr:row>
      <xdr:rowOff>85725</xdr:rowOff>
    </xdr:from>
    <xdr:to>
      <xdr:col>39</xdr:col>
      <xdr:colOff>0</xdr:colOff>
      <xdr:row>54</xdr:row>
      <xdr:rowOff>0</xdr:rowOff>
    </xdr:to>
    <xdr:sp macro="" textlink="">
      <xdr:nvSpPr>
        <xdr:cNvPr id="14" name="角丸四角形吹き出し 13">
          <a:extLst>
            <a:ext uri="{FF2B5EF4-FFF2-40B4-BE49-F238E27FC236}">
              <a16:creationId xmlns:a16="http://schemas.microsoft.com/office/drawing/2014/main" id="{00000000-0008-0000-0200-00000E000000}"/>
            </a:ext>
          </a:extLst>
        </xdr:cNvPr>
        <xdr:cNvSpPr/>
      </xdr:nvSpPr>
      <xdr:spPr>
        <a:xfrm>
          <a:off x="6096000" y="8039100"/>
          <a:ext cx="5791200" cy="1285875"/>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twoCellAnchor>
    <xdr:from>
      <xdr:col>20</xdr:col>
      <xdr:colOff>0</xdr:colOff>
      <xdr:row>54</xdr:row>
      <xdr:rowOff>95250</xdr:rowOff>
    </xdr:from>
    <xdr:to>
      <xdr:col>39</xdr:col>
      <xdr:colOff>0</xdr:colOff>
      <xdr:row>62</xdr:row>
      <xdr:rowOff>0</xdr:rowOff>
    </xdr:to>
    <xdr:sp macro="" textlink="">
      <xdr:nvSpPr>
        <xdr:cNvPr id="15" name="角丸四角形吹き出し 14">
          <a:extLst>
            <a:ext uri="{FF2B5EF4-FFF2-40B4-BE49-F238E27FC236}">
              <a16:creationId xmlns:a16="http://schemas.microsoft.com/office/drawing/2014/main" id="{00000000-0008-0000-0200-00000F000000}"/>
            </a:ext>
          </a:extLst>
        </xdr:cNvPr>
        <xdr:cNvSpPr/>
      </xdr:nvSpPr>
      <xdr:spPr>
        <a:xfrm>
          <a:off x="6096000" y="9420225"/>
          <a:ext cx="5791200" cy="1276350"/>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twoCellAnchor>
    <xdr:from>
      <xdr:col>20</xdr:col>
      <xdr:colOff>0</xdr:colOff>
      <xdr:row>63</xdr:row>
      <xdr:rowOff>85726</xdr:rowOff>
    </xdr:from>
    <xdr:to>
      <xdr:col>39</xdr:col>
      <xdr:colOff>0</xdr:colOff>
      <xdr:row>70</xdr:row>
      <xdr:rowOff>0</xdr:rowOff>
    </xdr:to>
    <xdr:sp macro="" textlink="">
      <xdr:nvSpPr>
        <xdr:cNvPr id="16" name="角丸四角形吹き出し 15">
          <a:extLst>
            <a:ext uri="{FF2B5EF4-FFF2-40B4-BE49-F238E27FC236}">
              <a16:creationId xmlns:a16="http://schemas.microsoft.com/office/drawing/2014/main" id="{00000000-0008-0000-0200-000010000000}"/>
            </a:ext>
          </a:extLst>
        </xdr:cNvPr>
        <xdr:cNvSpPr/>
      </xdr:nvSpPr>
      <xdr:spPr>
        <a:xfrm>
          <a:off x="6096000" y="10953751"/>
          <a:ext cx="5791200" cy="1114424"/>
        </a:xfrm>
        <a:prstGeom prst="wedgeRoundRectCallout">
          <a:avLst>
            <a:gd name="adj1" fmla="val -61294"/>
            <a:gd name="adj2" fmla="val -17984"/>
            <a:gd name="adj3" fmla="val 16667"/>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ex)</a:t>
          </a:r>
          <a:endParaRPr kumimoji="1" lang="ja-JP" altLang="en-US"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257175</xdr:colOff>
          <xdr:row>9</xdr:row>
          <xdr:rowOff>19050</xdr:rowOff>
        </xdr:from>
        <xdr:to>
          <xdr:col>4</xdr:col>
          <xdr:colOff>1876425</xdr:colOff>
          <xdr:row>12</xdr:row>
          <xdr:rowOff>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900-00000A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チェック処理＆</a:t>
              </a:r>
            </a:p>
            <a:p>
              <a:pPr algn="ctr" rtl="0">
                <a:defRPr sz="1000"/>
              </a:pPr>
              <a:r>
                <a:rPr lang="ja-JP" altLang="en-US" sz="1100" b="0" i="0" u="none" strike="noStrike" baseline="0">
                  <a:solidFill>
                    <a:srgbClr val="000000"/>
                  </a:solidFill>
                  <a:latin typeface="ＭＳ Ｐゴシック"/>
                  <a:ea typeface="ＭＳ Ｐゴシック"/>
                </a:rPr>
                <a:t>コミット実行！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5</xdr:row>
          <xdr:rowOff>0</xdr:rowOff>
        </xdr:from>
        <xdr:to>
          <xdr:col>30</xdr:col>
          <xdr:colOff>0</xdr:colOff>
          <xdr:row>6</xdr:row>
          <xdr:rowOff>0</xdr:rowOff>
        </xdr:to>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900-00001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6</xdr:row>
          <xdr:rowOff>0</xdr:rowOff>
        </xdr:from>
        <xdr:to>
          <xdr:col>30</xdr:col>
          <xdr:colOff>0</xdr:colOff>
          <xdr:row>7</xdr:row>
          <xdr:rowOff>0</xdr:rowOff>
        </xdr:to>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900-000014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xdr:row>
          <xdr:rowOff>0</xdr:rowOff>
        </xdr:from>
        <xdr:to>
          <xdr:col>15</xdr:col>
          <xdr:colOff>0</xdr:colOff>
          <xdr:row>16</xdr:row>
          <xdr:rowOff>0</xdr:rowOff>
        </xdr:to>
        <xdr:sp macro="" textlink="">
          <xdr:nvSpPr>
            <xdr:cNvPr id="10277" name="Button 37"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試験結果欄</a:t>
              </a:r>
            </a:p>
            <a:p>
              <a:pPr algn="ctr" rtl="0">
                <a:defRPr sz="1000"/>
              </a:pPr>
              <a:r>
                <a:rPr lang="ja-JP" altLang="en-US" sz="1100" b="0" i="0" u="none" strike="noStrike" baseline="0">
                  <a:solidFill>
                    <a:srgbClr val="000000"/>
                  </a:solidFill>
                  <a:latin typeface="ＭＳ Ｐゴシック"/>
                  <a:ea typeface="ＭＳ Ｐゴシック"/>
                </a:rPr>
                <a:t>書き込み実行！</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ffer/100_Work/%23Knowledge%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用語集"/>
      <sheetName val="PTM"/>
      <sheetName val="C言語"/>
      <sheetName val="基礎知識"/>
      <sheetName val="トラブルシューティング"/>
      <sheetName val="日本語"/>
      <sheetName val="data"/>
      <sheetName val="ビットオーダー＆バイトオーダー"/>
      <sheetName val="PTM（FailPassStatusロジック補足）"/>
      <sheetName val="AD電圧種別整理（二次プロト）"/>
      <sheetName val="DFD_Wrapper"/>
      <sheetName val="Rte_Wrapper データ構造"/>
      <sheetName val="CANデータ仕様"/>
      <sheetName val="レゾリューション変換"/>
      <sheetName val="Sheet1"/>
      <sheetName val="POnOffSeq簡易"/>
      <sheetName val="診断異常"/>
      <sheetName val="入出力信号_r112"/>
      <sheetName val="Local_r87"/>
      <sheetName val="Vehicle_r2"/>
      <sheetName val="fail_status bit"/>
    </sheetNames>
    <sheetDataSet>
      <sheetData sheetId="0" refreshError="1"/>
      <sheetData sheetId="1" refreshError="1"/>
      <sheetData sheetId="2" refreshError="1"/>
      <sheetData sheetId="3" refreshError="1"/>
      <sheetData sheetId="4" refreshError="1"/>
      <sheetData sheetId="5" refreshError="1"/>
      <sheetData sheetId="6">
        <row r="4">
          <cell r="C4" t="str">
            <v>プロジェクト固有</v>
          </cell>
        </row>
        <row r="5">
          <cell r="C5" t="str">
            <v>英単語</v>
          </cell>
        </row>
        <row r="6">
          <cell r="C6" t="str">
            <v>一般 - IT</v>
          </cell>
        </row>
        <row r="7">
          <cell r="C7" t="str">
            <v>一般 - ツール</v>
          </cell>
        </row>
        <row r="8">
          <cell r="C8" t="str">
            <v>一般 - 車載SW</v>
          </cell>
        </row>
        <row r="9">
          <cell r="C9" t="str">
            <v>一般 - 車両</v>
          </cell>
        </row>
        <row r="10">
          <cell r="C10" t="str">
            <v>一般 - 電気回路</v>
          </cell>
        </row>
        <row r="11">
          <cell r="C11" t="str">
            <v>その他</v>
          </cell>
        </row>
        <row r="12">
          <cell r="C12" t="str">
            <v>?</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C86"/>
  <sheetViews>
    <sheetView showGridLines="0" tabSelected="1" workbookViewId="0"/>
  </sheetViews>
  <sheetFormatPr defaultColWidth="0" defaultRowHeight="13.5"/>
  <cols>
    <col min="1" max="2" width="4" customWidth="1"/>
    <col min="3" max="3" width="4" style="7" customWidth="1"/>
    <col min="4" max="4" width="4" customWidth="1"/>
    <col min="5" max="5" width="4" style="4" customWidth="1"/>
    <col min="6" max="29" width="4" customWidth="1"/>
    <col min="30" max="16384" width="4" hidden="1"/>
  </cols>
  <sheetData>
    <row r="2" spans="2:7" s="65" customFormat="1" ht="18.75">
      <c r="B2" s="64" t="s">
        <v>200</v>
      </c>
      <c r="C2" s="64"/>
    </row>
    <row r="3" spans="2:7">
      <c r="C3" s="7" t="s">
        <v>220</v>
      </c>
    </row>
    <row r="4" spans="2:7">
      <c r="D4" t="s">
        <v>253</v>
      </c>
    </row>
    <row r="5" spans="2:7">
      <c r="E5" s="4" t="s">
        <v>255</v>
      </c>
    </row>
    <row r="6" spans="2:7">
      <c r="E6" s="4" t="s">
        <v>256</v>
      </c>
    </row>
    <row r="7" spans="2:7">
      <c r="E7" s="4" t="s">
        <v>252</v>
      </c>
    </row>
    <row r="8" spans="2:7">
      <c r="D8" s="4" t="s">
        <v>254</v>
      </c>
    </row>
    <row r="9" spans="2:7">
      <c r="D9" s="4" t="s">
        <v>257</v>
      </c>
    </row>
    <row r="10" spans="2:7">
      <c r="D10" s="7"/>
      <c r="F10" s="4"/>
    </row>
    <row r="11" spans="2:7">
      <c r="C11" s="7" t="s">
        <v>221</v>
      </c>
    </row>
    <row r="12" spans="2:7">
      <c r="D12" s="71" t="s">
        <v>228</v>
      </c>
    </row>
    <row r="13" spans="2:7">
      <c r="D13" s="8"/>
      <c r="E13" s="4" t="s">
        <v>230</v>
      </c>
    </row>
    <row r="14" spans="2:7">
      <c r="D14" s="8"/>
      <c r="G14" s="3"/>
    </row>
    <row r="15" spans="2:7">
      <c r="D15" s="8"/>
      <c r="E15" s="2" t="s">
        <v>34</v>
      </c>
      <c r="G15" s="3"/>
    </row>
    <row r="16" spans="2:7">
      <c r="D16" s="8"/>
      <c r="F16" t="s">
        <v>206</v>
      </c>
      <c r="G16" s="3"/>
    </row>
    <row r="17" spans="3:7">
      <c r="D17" s="8"/>
      <c r="G17" s="3"/>
    </row>
    <row r="18" spans="3:7">
      <c r="D18" s="8"/>
      <c r="E18" s="8"/>
      <c r="F18" s="2" t="s">
        <v>65</v>
      </c>
      <c r="G18" s="9" t="s">
        <v>225</v>
      </c>
    </row>
    <row r="19" spans="3:7" s="4" customFormat="1">
      <c r="C19" s="66"/>
      <c r="D19" s="67"/>
      <c r="E19" s="67"/>
      <c r="G19" s="30" t="s">
        <v>202</v>
      </c>
    </row>
    <row r="20" spans="3:7">
      <c r="D20" s="8"/>
      <c r="E20" s="8"/>
      <c r="G20" s="2"/>
    </row>
    <row r="21" spans="3:7">
      <c r="D21" s="8"/>
      <c r="E21" s="8"/>
      <c r="F21" s="2" t="s">
        <v>66</v>
      </c>
      <c r="G21" s="2" t="s">
        <v>119</v>
      </c>
    </row>
    <row r="22" spans="3:7">
      <c r="D22" s="8"/>
      <c r="E22" s="8"/>
      <c r="F22" s="2"/>
      <c r="G22" s="68" t="s">
        <v>268</v>
      </c>
    </row>
    <row r="23" spans="3:7">
      <c r="D23" s="8"/>
      <c r="E23" s="8"/>
      <c r="F23" s="2"/>
      <c r="G23" s="68" t="s">
        <v>267</v>
      </c>
    </row>
    <row r="24" spans="3:7">
      <c r="D24" s="8"/>
      <c r="E24" s="8"/>
      <c r="F24" s="2"/>
      <c r="G24" s="4"/>
    </row>
    <row r="25" spans="3:7">
      <c r="D25" s="8"/>
      <c r="E25" s="8"/>
      <c r="F25" s="2" t="s">
        <v>67</v>
      </c>
      <c r="G25" s="2" t="s">
        <v>123</v>
      </c>
    </row>
    <row r="26" spans="3:7">
      <c r="D26" s="8"/>
      <c r="E26" s="8"/>
      <c r="F26" s="2"/>
      <c r="G26" s="68" t="s">
        <v>199</v>
      </c>
    </row>
    <row r="27" spans="3:7">
      <c r="D27" s="8"/>
      <c r="E27" s="8"/>
      <c r="F27" s="2"/>
      <c r="G27" s="68" t="s">
        <v>267</v>
      </c>
    </row>
    <row r="28" spans="3:7">
      <c r="D28" s="8"/>
      <c r="E28" s="8"/>
      <c r="F28" s="6"/>
    </row>
    <row r="29" spans="3:7">
      <c r="C29" s="7" t="s">
        <v>222</v>
      </c>
    </row>
    <row r="30" spans="3:7">
      <c r="D30" s="8" t="s">
        <v>33</v>
      </c>
    </row>
    <row r="31" spans="3:7">
      <c r="D31" s="8"/>
      <c r="E31" s="70" t="s">
        <v>203</v>
      </c>
      <c r="F31" s="70" t="s">
        <v>367</v>
      </c>
    </row>
    <row r="32" spans="3:7">
      <c r="D32" s="8"/>
      <c r="E32" s="4" t="s">
        <v>204</v>
      </c>
      <c r="F32" t="s">
        <v>266</v>
      </c>
    </row>
    <row r="33" spans="3:6">
      <c r="D33" s="8"/>
      <c r="E33" s="4" t="s">
        <v>215</v>
      </c>
      <c r="F33" t="s">
        <v>205</v>
      </c>
    </row>
    <row r="35" spans="3:6">
      <c r="C35" s="7" t="s">
        <v>223</v>
      </c>
    </row>
    <row r="36" spans="3:6">
      <c r="D36" s="4" t="s">
        <v>224</v>
      </c>
    </row>
    <row r="46" spans="3:6">
      <c r="F46" s="4"/>
    </row>
    <row r="47" spans="3:6">
      <c r="F47" s="30"/>
    </row>
    <row r="48" spans="3:6">
      <c r="F48" s="30"/>
    </row>
    <row r="49" spans="3:8">
      <c r="F49" s="30"/>
    </row>
    <row r="50" spans="3:8">
      <c r="F50" s="30"/>
    </row>
    <row r="51" spans="3:8">
      <c r="F51" s="4"/>
    </row>
    <row r="52" spans="3:8">
      <c r="F52" s="4"/>
    </row>
    <row r="53" spans="3:8">
      <c r="F53" s="4"/>
    </row>
    <row r="54" spans="3:8">
      <c r="D54" s="4" t="s">
        <v>227</v>
      </c>
    </row>
    <row r="60" spans="3:8">
      <c r="C60" s="7" t="s">
        <v>229</v>
      </c>
    </row>
    <row r="61" spans="3:8">
      <c r="D61" s="4" t="s">
        <v>26</v>
      </c>
      <c r="E61" s="4" t="s">
        <v>7</v>
      </c>
    </row>
    <row r="62" spans="3:8">
      <c r="D62" s="4"/>
      <c r="E62" s="4" t="s">
        <v>5</v>
      </c>
    </row>
    <row r="63" spans="3:8">
      <c r="D63" s="4"/>
      <c r="F63" t="s">
        <v>12</v>
      </c>
      <c r="H63" t="s">
        <v>13</v>
      </c>
    </row>
    <row r="64" spans="3:8">
      <c r="D64" s="4"/>
      <c r="H64" t="s">
        <v>14</v>
      </c>
    </row>
    <row r="65" spans="4:20">
      <c r="D65" s="4"/>
      <c r="F65" t="s">
        <v>11</v>
      </c>
      <c r="H65" t="s">
        <v>262</v>
      </c>
    </row>
    <row r="66" spans="4:20">
      <c r="D66" s="4"/>
      <c r="I66" t="s">
        <v>6</v>
      </c>
      <c r="J66" t="s">
        <v>9</v>
      </c>
    </row>
    <row r="67" spans="4:20">
      <c r="D67" s="4"/>
      <c r="J67" t="s">
        <v>10</v>
      </c>
    </row>
    <row r="68" spans="4:20">
      <c r="D68" s="4"/>
      <c r="J68" t="s">
        <v>8</v>
      </c>
    </row>
    <row r="69" spans="4:20">
      <c r="D69" s="4"/>
      <c r="F69" t="s">
        <v>15</v>
      </c>
      <c r="H69" t="s">
        <v>263</v>
      </c>
    </row>
    <row r="70" spans="4:20">
      <c r="D70" s="4"/>
      <c r="H70" t="s">
        <v>16</v>
      </c>
    </row>
    <row r="71" spans="4:20">
      <c r="D71" s="4"/>
    </row>
    <row r="72" spans="4:20">
      <c r="D72" s="4"/>
      <c r="F72" t="s">
        <v>17</v>
      </c>
    </row>
    <row r="73" spans="4:20">
      <c r="D73" s="4"/>
      <c r="G73" t="s">
        <v>18</v>
      </c>
    </row>
    <row r="74" spans="4:20">
      <c r="D74" s="2"/>
      <c r="F74" s="4"/>
      <c r="G74" s="4"/>
      <c r="H74" t="s">
        <v>19</v>
      </c>
      <c r="I74" t="s">
        <v>24</v>
      </c>
      <c r="T74" s="5" t="s">
        <v>20</v>
      </c>
    </row>
    <row r="75" spans="4:20">
      <c r="D75" s="2"/>
      <c r="F75" s="4"/>
      <c r="G75" s="4"/>
      <c r="H75" t="s">
        <v>3</v>
      </c>
      <c r="I75" t="s">
        <v>23</v>
      </c>
      <c r="T75" s="4" t="s">
        <v>21</v>
      </c>
    </row>
    <row r="76" spans="4:20">
      <c r="D76" s="2"/>
      <c r="F76" s="4"/>
      <c r="G76" s="4"/>
      <c r="H76" t="s">
        <v>4</v>
      </c>
      <c r="I76" t="s">
        <v>25</v>
      </c>
      <c r="T76" s="4" t="s">
        <v>22</v>
      </c>
    </row>
    <row r="77" spans="4:20">
      <c r="D77" s="2" t="s">
        <v>138</v>
      </c>
      <c r="E77" s="4" t="s">
        <v>101</v>
      </c>
    </row>
    <row r="78" spans="4:20">
      <c r="E78"/>
      <c r="F78" s="4" t="s">
        <v>95</v>
      </c>
      <c r="I78" s="4" t="s">
        <v>92</v>
      </c>
    </row>
    <row r="79" spans="4:20">
      <c r="E79"/>
      <c r="F79" s="4" t="s">
        <v>94</v>
      </c>
      <c r="I79" s="4" t="s">
        <v>93</v>
      </c>
    </row>
    <row r="80" spans="4:20">
      <c r="D80" t="s">
        <v>102</v>
      </c>
      <c r="E80" s="4" t="s">
        <v>103</v>
      </c>
    </row>
    <row r="81" spans="4:6">
      <c r="E81" t="s">
        <v>2</v>
      </c>
      <c r="F81" t="s">
        <v>130</v>
      </c>
    </row>
    <row r="82" spans="4:6">
      <c r="E82" t="s">
        <v>2</v>
      </c>
      <c r="F82" t="s">
        <v>104</v>
      </c>
    </row>
    <row r="83" spans="4:6">
      <c r="E83" t="s">
        <v>2</v>
      </c>
      <c r="F83" t="s">
        <v>105</v>
      </c>
    </row>
    <row r="84" spans="4:6">
      <c r="E84" t="s">
        <v>2</v>
      </c>
      <c r="F84" t="s">
        <v>133</v>
      </c>
    </row>
    <row r="85" spans="4:6">
      <c r="D85" s="7"/>
      <c r="E85" t="s">
        <v>353</v>
      </c>
      <c r="F85" s="4" t="s">
        <v>354</v>
      </c>
    </row>
    <row r="86" spans="4:6">
      <c r="D86" t="s">
        <v>270</v>
      </c>
      <c r="E86" s="4" t="s">
        <v>271</v>
      </c>
    </row>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FF0000"/>
  </sheetPr>
  <dimension ref="A1:AC16"/>
  <sheetViews>
    <sheetView showGridLines="0" workbookViewId="0"/>
  </sheetViews>
  <sheetFormatPr defaultColWidth="0" defaultRowHeight="13.5" zeroHeight="1"/>
  <cols>
    <col min="1" max="29" width="3.5" customWidth="1"/>
    <col min="30" max="16384" width="3.5" hidden="1"/>
  </cols>
  <sheetData>
    <row r="1" spans="2:5"/>
    <row r="2" spans="2:5" s="65" customFormat="1" ht="18.75">
      <c r="B2" s="64" t="s">
        <v>365</v>
      </c>
      <c r="C2" s="64"/>
    </row>
    <row r="3" spans="2:5"/>
    <row r="4" spans="2:5">
      <c r="C4" s="70" t="s">
        <v>366</v>
      </c>
    </row>
    <row r="5" spans="2:5"/>
    <row r="6" spans="2:5">
      <c r="C6" t="s">
        <v>258</v>
      </c>
    </row>
    <row r="7" spans="2:5">
      <c r="D7" t="s">
        <v>260</v>
      </c>
    </row>
    <row r="8" spans="2:5">
      <c r="C8" t="s">
        <v>269</v>
      </c>
    </row>
    <row r="9" spans="2:5">
      <c r="C9" t="s">
        <v>359</v>
      </c>
    </row>
    <row r="10" spans="2:5">
      <c r="D10" t="s">
        <v>360</v>
      </c>
      <c r="E10" t="s">
        <v>361</v>
      </c>
    </row>
    <row r="11" spans="2:5">
      <c r="E11" t="s">
        <v>362</v>
      </c>
    </row>
    <row r="12" spans="2:5">
      <c r="C12" t="s">
        <v>216</v>
      </c>
    </row>
    <row r="13" spans="2:5">
      <c r="D13" t="s">
        <v>360</v>
      </c>
      <c r="E13" t="s">
        <v>363</v>
      </c>
    </row>
    <row r="14" spans="2:5">
      <c r="E14" t="s">
        <v>364</v>
      </c>
    </row>
    <row r="15" spans="2:5">
      <c r="C15" t="s">
        <v>219</v>
      </c>
    </row>
    <row r="16" spans="2:5"/>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AN104"/>
  <sheetViews>
    <sheetView showGridLines="0" workbookViewId="0"/>
  </sheetViews>
  <sheetFormatPr defaultColWidth="0" defaultRowHeight="13.5" zeroHeight="1"/>
  <cols>
    <col min="1" max="2" width="4" customWidth="1"/>
    <col min="3" max="3" width="4" style="7" customWidth="1"/>
    <col min="4" max="40" width="4" customWidth="1"/>
    <col min="41" max="16384" width="4" hidden="1"/>
  </cols>
  <sheetData>
    <row r="1" spans="2:8"/>
    <row r="2" spans="2:8" s="65" customFormat="1" ht="18.75">
      <c r="B2" s="64" t="s">
        <v>201</v>
      </c>
      <c r="C2" s="63"/>
    </row>
    <row r="3" spans="2:8">
      <c r="C3" s="7" t="s">
        <v>217</v>
      </c>
    </row>
    <row r="4" spans="2:8">
      <c r="D4" s="2" t="s">
        <v>65</v>
      </c>
      <c r="E4" s="9" t="s">
        <v>225</v>
      </c>
    </row>
    <row r="5" spans="2:8" s="4" customFormat="1">
      <c r="C5" s="7"/>
      <c r="E5" s="30" t="s">
        <v>226</v>
      </c>
    </row>
    <row r="6" spans="2:8">
      <c r="D6" s="2"/>
      <c r="E6" s="4"/>
    </row>
    <row r="7" spans="2:8">
      <c r="D7" s="2"/>
      <c r="E7" s="4"/>
      <c r="F7" t="s">
        <v>162</v>
      </c>
    </row>
    <row r="8" spans="2:8">
      <c r="D8" s="2"/>
      <c r="E8" s="4"/>
      <c r="G8" t="s">
        <v>163</v>
      </c>
    </row>
    <row r="9" spans="2:8">
      <c r="D9" s="2"/>
      <c r="E9" s="4"/>
      <c r="G9" t="s">
        <v>164</v>
      </c>
    </row>
    <row r="10" spans="2:8">
      <c r="D10" s="2"/>
      <c r="E10" s="4"/>
      <c r="G10" t="s">
        <v>165</v>
      </c>
    </row>
    <row r="11" spans="2:8">
      <c r="D11" s="2"/>
      <c r="E11" s="4"/>
      <c r="F11" t="s">
        <v>170</v>
      </c>
    </row>
    <row r="12" spans="2:8">
      <c r="D12" s="2"/>
      <c r="E12" s="4"/>
      <c r="G12" t="s">
        <v>169</v>
      </c>
    </row>
    <row r="13" spans="2:8">
      <c r="D13" s="2"/>
      <c r="E13" s="4"/>
    </row>
    <row r="14" spans="2:8">
      <c r="D14" s="2"/>
      <c r="E14" s="2"/>
      <c r="F14" s="2"/>
      <c r="G14" s="30" t="s">
        <v>186</v>
      </c>
    </row>
    <row r="15" spans="2:8">
      <c r="D15" s="2"/>
      <c r="E15" s="2"/>
      <c r="F15" s="2"/>
      <c r="G15" s="2"/>
      <c r="H15" s="5" t="s">
        <v>184</v>
      </c>
    </row>
    <row r="16" spans="2:8">
      <c r="D16" s="2"/>
      <c r="E16" s="2"/>
      <c r="F16" s="2"/>
      <c r="G16" s="2"/>
      <c r="H16" s="4" t="s">
        <v>171</v>
      </c>
    </row>
    <row r="17" spans="4:20">
      <c r="D17" s="2"/>
      <c r="E17" s="2"/>
      <c r="F17" s="2"/>
      <c r="G17" s="2"/>
      <c r="H17" s="4" t="s">
        <v>185</v>
      </c>
    </row>
    <row r="18" spans="4:20">
      <c r="D18" s="2"/>
      <c r="E18" s="2"/>
      <c r="F18" s="2"/>
      <c r="G18" s="2"/>
      <c r="H18" s="4"/>
      <c r="J18" s="68" t="s">
        <v>172</v>
      </c>
    </row>
    <row r="19" spans="4:20">
      <c r="D19" s="2"/>
      <c r="E19" s="2"/>
      <c r="F19" s="2"/>
      <c r="G19" s="2"/>
      <c r="H19" s="4"/>
      <c r="K19" t="s">
        <v>173</v>
      </c>
    </row>
    <row r="20" spans="4:20">
      <c r="D20" s="2"/>
      <c r="E20" s="2"/>
      <c r="F20" s="2"/>
      <c r="G20" s="2"/>
      <c r="H20" s="4"/>
      <c r="J20" s="68" t="s">
        <v>174</v>
      </c>
    </row>
    <row r="21" spans="4:20">
      <c r="D21" s="2"/>
      <c r="E21" s="2"/>
      <c r="F21" s="2"/>
      <c r="G21" s="2"/>
      <c r="H21" s="4"/>
      <c r="I21" s="4"/>
      <c r="J21" s="4"/>
      <c r="K21" t="s">
        <v>175</v>
      </c>
      <c r="L21" t="s">
        <v>178</v>
      </c>
      <c r="T21" t="s">
        <v>181</v>
      </c>
    </row>
    <row r="22" spans="4:20">
      <c r="D22" s="2"/>
      <c r="E22" s="2"/>
      <c r="F22" s="2"/>
      <c r="G22" s="2"/>
      <c r="H22" s="4"/>
      <c r="I22" s="4"/>
      <c r="J22" s="4"/>
      <c r="K22" t="s">
        <v>176</v>
      </c>
      <c r="L22" t="s">
        <v>179</v>
      </c>
      <c r="T22" t="s">
        <v>182</v>
      </c>
    </row>
    <row r="23" spans="4:20">
      <c r="D23" s="2"/>
      <c r="E23" s="2"/>
      <c r="F23" s="2"/>
      <c r="G23" s="2"/>
      <c r="H23" s="4"/>
      <c r="I23" s="4"/>
      <c r="J23" s="4"/>
      <c r="K23" t="s">
        <v>177</v>
      </c>
      <c r="L23" t="s">
        <v>180</v>
      </c>
      <c r="T23" t="s">
        <v>183</v>
      </c>
    </row>
    <row r="24" spans="4:20">
      <c r="E24" s="2"/>
    </row>
    <row r="25" spans="4:20">
      <c r="D25" s="2" t="s">
        <v>66</v>
      </c>
      <c r="E25" s="2" t="s">
        <v>119</v>
      </c>
    </row>
    <row r="26" spans="4:20">
      <c r="D26" s="2"/>
      <c r="E26" s="68" t="s">
        <v>268</v>
      </c>
    </row>
    <row r="27" spans="4:20">
      <c r="D27" s="2"/>
      <c r="E27" s="4"/>
    </row>
    <row r="28" spans="4:20">
      <c r="D28" s="2" t="s">
        <v>67</v>
      </c>
      <c r="E28" s="2" t="s">
        <v>123</v>
      </c>
    </row>
    <row r="29" spans="4:20">
      <c r="D29" s="2"/>
      <c r="E29" s="68" t="s">
        <v>199</v>
      </c>
    </row>
    <row r="30" spans="4:20">
      <c r="D30" s="2"/>
      <c r="E30" s="68"/>
    </row>
    <row r="31" spans="4:20">
      <c r="D31" s="2"/>
      <c r="E31" t="s">
        <v>231</v>
      </c>
    </row>
    <row r="32" spans="4:20">
      <c r="D32" s="2"/>
      <c r="E32" t="s">
        <v>232</v>
      </c>
    </row>
    <row r="33" spans="4:29">
      <c r="D33" s="2"/>
    </row>
    <row r="34" spans="4:29">
      <c r="D34" s="2"/>
      <c r="E34" t="s">
        <v>259</v>
      </c>
      <c r="L34" s="1"/>
    </row>
    <row r="35" spans="4:29">
      <c r="D35" s="2"/>
      <c r="E35" s="4"/>
      <c r="F35" t="s">
        <v>162</v>
      </c>
    </row>
    <row r="36" spans="4:29">
      <c r="D36" s="2"/>
      <c r="G36" s="54" t="s">
        <v>208</v>
      </c>
      <c r="H36" s="54"/>
      <c r="L36" s="1"/>
      <c r="V36" t="s">
        <v>207</v>
      </c>
    </row>
    <row r="37" spans="4:29">
      <c r="D37" s="2"/>
      <c r="E37" s="4"/>
      <c r="G37" s="54"/>
      <c r="H37" s="69" t="s">
        <v>196</v>
      </c>
      <c r="I37" s="69"/>
      <c r="J37" s="69"/>
      <c r="K37" s="69"/>
      <c r="L37" s="69"/>
      <c r="W37" t="s">
        <v>234</v>
      </c>
    </row>
    <row r="38" spans="4:29">
      <c r="D38" s="2"/>
      <c r="E38" s="4"/>
      <c r="H38" s="69"/>
      <c r="I38" s="69" t="s">
        <v>195</v>
      </c>
      <c r="J38" s="69"/>
      <c r="K38" s="69"/>
      <c r="L38" s="69"/>
      <c r="N38" s="1"/>
      <c r="O38" s="1"/>
      <c r="X38" t="s">
        <v>235</v>
      </c>
    </row>
    <row r="39" spans="4:29">
      <c r="D39" s="2"/>
      <c r="E39" s="4"/>
      <c r="H39" s="69"/>
      <c r="I39" s="69"/>
      <c r="J39" s="69" t="s">
        <v>194</v>
      </c>
      <c r="K39" s="69"/>
      <c r="L39" s="69"/>
      <c r="Y39" t="s">
        <v>236</v>
      </c>
    </row>
    <row r="40" spans="4:29">
      <c r="D40" s="2"/>
      <c r="E40" s="4"/>
      <c r="H40" s="69"/>
      <c r="I40" s="69"/>
      <c r="J40" s="69"/>
      <c r="K40" s="69" t="s">
        <v>277</v>
      </c>
      <c r="L40" s="69"/>
      <c r="Z40" t="s">
        <v>237</v>
      </c>
    </row>
    <row r="41" spans="4:29">
      <c r="D41" s="2"/>
      <c r="E41" s="4"/>
      <c r="H41" s="69"/>
      <c r="I41" s="69"/>
      <c r="J41" s="69"/>
      <c r="K41" s="69"/>
      <c r="L41" s="69" t="s">
        <v>276</v>
      </c>
      <c r="AA41" t="s">
        <v>238</v>
      </c>
    </row>
    <row r="42" spans="4:29">
      <c r="D42" s="2"/>
      <c r="E42" s="4"/>
      <c r="H42" s="69"/>
      <c r="I42" s="69"/>
      <c r="J42" s="69"/>
      <c r="K42" s="69"/>
      <c r="L42" s="69" t="s">
        <v>189</v>
      </c>
      <c r="AA42" t="s">
        <v>188</v>
      </c>
    </row>
    <row r="43" spans="4:29">
      <c r="D43" s="2"/>
      <c r="E43" s="4"/>
      <c r="H43" s="69"/>
      <c r="I43" s="69"/>
      <c r="J43" s="69"/>
      <c r="K43" s="69"/>
      <c r="L43" s="69" t="s">
        <v>233</v>
      </c>
      <c r="AA43" t="s">
        <v>190</v>
      </c>
    </row>
    <row r="44" spans="4:29">
      <c r="D44" s="2"/>
      <c r="E44" s="4"/>
      <c r="H44" s="69"/>
      <c r="I44" s="69"/>
      <c r="J44" s="69"/>
      <c r="K44" s="69"/>
      <c r="L44" s="69"/>
      <c r="M44" t="s">
        <v>191</v>
      </c>
      <c r="AB44" t="s">
        <v>239</v>
      </c>
    </row>
    <row r="45" spans="4:29">
      <c r="D45" s="2"/>
      <c r="E45" s="4"/>
      <c r="H45" s="69"/>
      <c r="I45" s="69"/>
      <c r="J45" s="69"/>
      <c r="K45" s="69"/>
      <c r="L45" s="69"/>
      <c r="N45" t="s">
        <v>192</v>
      </c>
      <c r="AC45" t="s">
        <v>240</v>
      </c>
    </row>
    <row r="46" spans="4:29">
      <c r="D46" s="2"/>
      <c r="E46" s="4"/>
      <c r="H46" s="69"/>
      <c r="I46" s="69"/>
      <c r="J46" s="69"/>
      <c r="K46" s="69"/>
      <c r="L46" s="69"/>
    </row>
    <row r="47" spans="4:29">
      <c r="D47" s="2"/>
      <c r="E47" s="4"/>
      <c r="H47" s="69"/>
      <c r="I47" s="69"/>
      <c r="J47" s="69"/>
      <c r="K47" s="69"/>
      <c r="L47" s="69"/>
    </row>
    <row r="48" spans="4:29">
      <c r="D48" s="2"/>
      <c r="E48" s="4"/>
      <c r="F48" t="s">
        <v>166</v>
      </c>
      <c r="H48" s="69"/>
      <c r="I48" s="69"/>
      <c r="J48" s="69"/>
      <c r="K48" s="69"/>
      <c r="L48" s="69"/>
    </row>
    <row r="49" spans="4:26">
      <c r="D49" s="2"/>
      <c r="E49" s="4"/>
      <c r="G49" s="54" t="s">
        <v>210</v>
      </c>
      <c r="H49" s="69"/>
      <c r="I49" s="69"/>
      <c r="J49" s="69"/>
      <c r="K49" s="69"/>
      <c r="L49" s="69"/>
      <c r="V49" t="s">
        <v>209</v>
      </c>
    </row>
    <row r="50" spans="4:26">
      <c r="D50" s="2"/>
      <c r="E50" s="4"/>
      <c r="G50" s="54"/>
      <c r="H50" s="69" t="s">
        <v>196</v>
      </c>
      <c r="I50" s="69"/>
      <c r="J50" s="69"/>
      <c r="K50" s="69"/>
      <c r="L50" s="69"/>
      <c r="W50" t="s">
        <v>241</v>
      </c>
    </row>
    <row r="51" spans="4:26">
      <c r="D51" s="2"/>
      <c r="E51" s="4"/>
      <c r="G51" s="54"/>
      <c r="H51" s="69"/>
      <c r="I51" s="69" t="s">
        <v>195</v>
      </c>
      <c r="J51" s="69"/>
      <c r="K51" s="69"/>
      <c r="L51" s="69"/>
      <c r="O51" s="1"/>
      <c r="X51" t="s">
        <v>242</v>
      </c>
    </row>
    <row r="52" spans="4:26">
      <c r="D52" s="2"/>
      <c r="E52" s="4"/>
      <c r="G52" s="54"/>
      <c r="H52" s="69"/>
      <c r="I52" s="69"/>
      <c r="J52" s="69" t="s">
        <v>197</v>
      </c>
      <c r="K52" s="69"/>
      <c r="L52" s="69"/>
      <c r="O52" s="1"/>
      <c r="Y52" t="s">
        <v>243</v>
      </c>
    </row>
    <row r="53" spans="4:26">
      <c r="D53" s="2"/>
      <c r="E53" s="4"/>
      <c r="G53" s="54"/>
      <c r="H53" s="69"/>
      <c r="I53" s="69"/>
      <c r="J53" s="69"/>
      <c r="K53" s="69" t="s">
        <v>198</v>
      </c>
      <c r="L53" s="69"/>
      <c r="Z53" t="s">
        <v>244</v>
      </c>
    </row>
    <row r="54" spans="4:26">
      <c r="D54" s="2"/>
      <c r="E54" s="4"/>
      <c r="G54" s="54"/>
      <c r="H54" s="69"/>
      <c r="I54" s="69"/>
      <c r="J54" s="69"/>
      <c r="K54" s="69"/>
      <c r="L54" s="69"/>
    </row>
    <row r="55" spans="4:26">
      <c r="D55" s="2"/>
      <c r="E55" s="4"/>
      <c r="G55" s="54"/>
      <c r="H55" s="69"/>
      <c r="I55" s="69"/>
      <c r="J55" s="69"/>
      <c r="K55" s="69"/>
      <c r="L55" s="69"/>
    </row>
    <row r="56" spans="4:26">
      <c r="D56" s="2"/>
      <c r="E56" s="4"/>
      <c r="F56" t="s">
        <v>167</v>
      </c>
      <c r="H56" s="69"/>
      <c r="I56" s="69"/>
      <c r="J56" s="69"/>
      <c r="K56" s="69"/>
      <c r="L56" s="69"/>
    </row>
    <row r="57" spans="4:26">
      <c r="D57" s="2"/>
      <c r="E57" s="4"/>
      <c r="G57" s="54" t="s">
        <v>212</v>
      </c>
      <c r="H57" s="69"/>
      <c r="I57" s="69"/>
      <c r="J57" s="69"/>
      <c r="K57" s="69"/>
      <c r="L57" s="69"/>
      <c r="V57" t="s">
        <v>211</v>
      </c>
    </row>
    <row r="58" spans="4:26">
      <c r="D58" s="2"/>
      <c r="E58" s="4"/>
      <c r="G58" s="54"/>
      <c r="H58" s="69" t="s">
        <v>196</v>
      </c>
      <c r="I58" s="69"/>
      <c r="J58" s="69"/>
      <c r="K58" s="69"/>
      <c r="L58" s="69"/>
      <c r="W58" t="s">
        <v>245</v>
      </c>
    </row>
    <row r="59" spans="4:26">
      <c r="D59" s="2"/>
      <c r="E59" s="4"/>
      <c r="G59" s="54"/>
      <c r="H59" s="69"/>
      <c r="I59" s="69" t="s">
        <v>195</v>
      </c>
      <c r="J59" s="69"/>
      <c r="K59" s="69"/>
      <c r="L59" s="69"/>
      <c r="O59" s="1"/>
      <c r="X59" t="s">
        <v>246</v>
      </c>
    </row>
    <row r="60" spans="4:26">
      <c r="D60" s="2"/>
      <c r="E60" s="4"/>
      <c r="G60" s="54"/>
      <c r="H60" s="69"/>
      <c r="I60" s="69"/>
      <c r="J60" s="69" t="s">
        <v>197</v>
      </c>
      <c r="K60" s="69"/>
      <c r="L60" s="69"/>
      <c r="Y60" t="s">
        <v>247</v>
      </c>
    </row>
    <row r="61" spans="4:26">
      <c r="D61" s="2"/>
      <c r="E61" s="4"/>
      <c r="G61" s="54"/>
      <c r="H61" s="69"/>
      <c r="I61" s="69"/>
      <c r="J61" s="69"/>
      <c r="K61" s="69" t="s">
        <v>198</v>
      </c>
      <c r="L61" s="69"/>
      <c r="Z61" t="s">
        <v>248</v>
      </c>
    </row>
    <row r="62" spans="4:26">
      <c r="D62" s="2"/>
      <c r="E62" s="4"/>
      <c r="G62" s="54"/>
      <c r="H62" s="69"/>
      <c r="I62" s="69"/>
      <c r="J62" s="69"/>
      <c r="K62" s="69"/>
      <c r="L62" s="69"/>
    </row>
    <row r="63" spans="4:26">
      <c r="D63" s="2"/>
      <c r="E63" s="4"/>
      <c r="G63" s="54"/>
      <c r="H63" s="69"/>
      <c r="I63" s="69"/>
      <c r="J63" s="69"/>
      <c r="K63" s="69"/>
      <c r="L63" s="69"/>
    </row>
    <row r="64" spans="4:26">
      <c r="D64" s="2"/>
      <c r="E64" s="4"/>
      <c r="G64" s="54"/>
      <c r="H64" s="69"/>
      <c r="I64" s="69"/>
      <c r="J64" s="69"/>
      <c r="K64" s="69"/>
      <c r="L64" s="69"/>
    </row>
    <row r="65" spans="3:25">
      <c r="D65" s="2"/>
      <c r="E65" s="4"/>
      <c r="F65" t="s">
        <v>168</v>
      </c>
      <c r="H65" s="69"/>
      <c r="I65" s="69"/>
      <c r="J65" s="69"/>
      <c r="K65" s="69"/>
      <c r="L65" s="69"/>
    </row>
    <row r="66" spans="3:25">
      <c r="D66" s="2"/>
      <c r="E66" s="4"/>
      <c r="G66" s="54" t="s">
        <v>214</v>
      </c>
      <c r="H66" s="69"/>
      <c r="I66" s="69"/>
      <c r="J66" s="69"/>
      <c r="K66" s="69"/>
      <c r="L66" s="69"/>
      <c r="V66" t="s">
        <v>213</v>
      </c>
    </row>
    <row r="67" spans="3:25">
      <c r="D67" s="2"/>
      <c r="E67" s="4"/>
      <c r="H67" s="69" t="s">
        <v>195</v>
      </c>
      <c r="I67" s="69"/>
      <c r="J67" s="69"/>
      <c r="K67" s="69"/>
      <c r="L67" s="69"/>
      <c r="N67" s="1"/>
      <c r="O67" s="1"/>
      <c r="W67" t="s">
        <v>249</v>
      </c>
    </row>
    <row r="68" spans="3:25">
      <c r="D68" s="2"/>
      <c r="E68" s="4"/>
      <c r="I68" t="s">
        <v>197</v>
      </c>
      <c r="X68" t="s">
        <v>250</v>
      </c>
    </row>
    <row r="69" spans="3:25">
      <c r="D69" s="2"/>
      <c r="E69" s="4"/>
      <c r="J69" t="s">
        <v>198</v>
      </c>
      <c r="Y69" t="s">
        <v>251</v>
      </c>
    </row>
    <row r="70" spans="3:25">
      <c r="D70" s="2"/>
      <c r="E70" s="4"/>
    </row>
    <row r="71" spans="3:25">
      <c r="D71" s="6"/>
      <c r="H71" s="69"/>
    </row>
    <row r="72" spans="3:25"/>
    <row r="73" spans="3:25">
      <c r="C73" s="7" t="s">
        <v>218</v>
      </c>
    </row>
    <row r="74" spans="3:25">
      <c r="C74"/>
      <c r="D74" s="7"/>
    </row>
    <row r="75" spans="3:25">
      <c r="C75"/>
      <c r="D75" s="7"/>
    </row>
    <row r="76" spans="3:25">
      <c r="C76"/>
      <c r="D76" s="7"/>
    </row>
    <row r="77" spans="3:25">
      <c r="C77"/>
      <c r="D77" s="7"/>
    </row>
    <row r="78" spans="3:25">
      <c r="C78"/>
      <c r="D78" s="7"/>
    </row>
    <row r="79" spans="3:25">
      <c r="C79"/>
      <c r="D79" s="7"/>
    </row>
    <row r="80" spans="3:25">
      <c r="C80"/>
      <c r="D80" s="7"/>
    </row>
    <row r="81" spans="3:4">
      <c r="C81"/>
      <c r="D81" s="7"/>
    </row>
    <row r="82" spans="3:4">
      <c r="C82"/>
      <c r="D82" s="7"/>
    </row>
    <row r="83" spans="3:4">
      <c r="C83"/>
      <c r="D83" s="7"/>
    </row>
    <row r="84" spans="3:4">
      <c r="C84"/>
      <c r="D84" s="7"/>
    </row>
    <row r="85" spans="3:4">
      <c r="C85"/>
      <c r="D85" s="7"/>
    </row>
    <row r="86" spans="3:4">
      <c r="C86"/>
      <c r="D86" s="7"/>
    </row>
    <row r="87" spans="3:4">
      <c r="C87"/>
      <c r="D87" s="7"/>
    </row>
    <row r="88" spans="3:4">
      <c r="C88"/>
      <c r="D88" s="7"/>
    </row>
    <row r="89" spans="3:4">
      <c r="C89"/>
      <c r="D89" s="7"/>
    </row>
    <row r="90" spans="3:4">
      <c r="C90"/>
      <c r="D90" s="7"/>
    </row>
    <row r="91" spans="3:4">
      <c r="C91"/>
      <c r="D91" s="7"/>
    </row>
    <row r="92" spans="3:4">
      <c r="C92"/>
      <c r="D92" s="7"/>
    </row>
    <row r="93" spans="3:4">
      <c r="C93"/>
      <c r="D93" s="7"/>
    </row>
    <row r="94" spans="3:4">
      <c r="C94"/>
      <c r="D94" s="7"/>
    </row>
    <row r="95" spans="3:4">
      <c r="C95"/>
      <c r="D95" s="7"/>
    </row>
    <row r="96" spans="3:4">
      <c r="C96"/>
      <c r="D96" s="7"/>
    </row>
    <row r="97" spans="3:4">
      <c r="C97"/>
      <c r="D97" s="7"/>
    </row>
    <row r="98" spans="3:4">
      <c r="C98"/>
      <c r="D98" s="7"/>
    </row>
    <row r="99" spans="3:4">
      <c r="C99"/>
      <c r="D99" s="7"/>
    </row>
    <row r="100" spans="3:4">
      <c r="C100"/>
      <c r="D100" s="7"/>
    </row>
    <row r="101" spans="3:4">
      <c r="C101"/>
      <c r="D101" s="7"/>
    </row>
    <row r="102" spans="3:4">
      <c r="C102"/>
      <c r="D102" s="7"/>
    </row>
    <row r="103" spans="3:4">
      <c r="C103"/>
      <c r="D103" s="7"/>
    </row>
    <row r="104" spans="3:4">
      <c r="C104"/>
      <c r="D104" s="7"/>
    </row>
  </sheetData>
  <phoneticPr fontId="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2:J12"/>
  <sheetViews>
    <sheetView showGridLines="0" zoomScaleNormal="100" workbookViewId="0">
      <pane ySplit="11" topLeftCell="A12" activePane="bottomLeft" state="frozen"/>
      <selection pane="bottomLeft"/>
    </sheetView>
  </sheetViews>
  <sheetFormatPr defaultRowHeight="13.5"/>
  <cols>
    <col min="1" max="2" width="3.625" customWidth="1"/>
    <col min="3" max="3" width="20" bestFit="1" customWidth="1"/>
    <col min="4" max="4" width="22" customWidth="1"/>
    <col min="5" max="5" width="36" customWidth="1"/>
    <col min="6" max="6" width="2.375" customWidth="1"/>
    <col min="7" max="7" width="12" customWidth="1"/>
    <col min="8" max="8" width="39.25" style="17" bestFit="1" customWidth="1"/>
  </cols>
  <sheetData>
    <row r="2" spans="2:10" s="49" customFormat="1" ht="14.25">
      <c r="B2" s="49" t="s">
        <v>261</v>
      </c>
      <c r="H2" s="50"/>
    </row>
    <row r="3" spans="2:10" s="47" customFormat="1" ht="6.75" customHeight="1">
      <c r="H3" s="48"/>
    </row>
    <row r="4" spans="2:10">
      <c r="C4" t="s">
        <v>118</v>
      </c>
    </row>
    <row r="6" spans="2:10">
      <c r="C6" s="44" t="s">
        <v>38</v>
      </c>
      <c r="D6" s="12"/>
      <c r="E6" s="13"/>
      <c r="F6" s="13"/>
      <c r="G6" s="13"/>
      <c r="H6" s="28"/>
      <c r="I6" s="13"/>
      <c r="J6" s="14"/>
    </row>
    <row r="7" spans="2:10">
      <c r="C7" s="45"/>
    </row>
    <row r="8" spans="2:10">
      <c r="C8" s="44" t="s">
        <v>37</v>
      </c>
      <c r="D8" s="39"/>
    </row>
    <row r="9" spans="2:10">
      <c r="C9" s="44" t="s">
        <v>79</v>
      </c>
      <c r="D9" s="39"/>
    </row>
    <row r="11" spans="2:10">
      <c r="C11" s="15" t="s">
        <v>41</v>
      </c>
      <c r="D11" s="15" t="s">
        <v>39</v>
      </c>
      <c r="E11" s="15" t="s">
        <v>40</v>
      </c>
      <c r="G11" s="15" t="s">
        <v>36</v>
      </c>
      <c r="H11" s="29" t="s">
        <v>35</v>
      </c>
    </row>
    <row r="12" spans="2:10">
      <c r="C12" s="22"/>
      <c r="D12" s="38"/>
      <c r="E12" s="23"/>
      <c r="G12" s="37"/>
      <c r="H12" s="36"/>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J13"/>
  <sheetViews>
    <sheetView showGridLines="0" zoomScaleNormal="100" workbookViewId="0">
      <pane ySplit="12" topLeftCell="A13" activePane="bottomLeft" state="frozen"/>
      <selection pane="bottomLeft"/>
    </sheetView>
  </sheetViews>
  <sheetFormatPr defaultRowHeight="13.5"/>
  <cols>
    <col min="1" max="2" width="3.625" customWidth="1"/>
    <col min="3" max="3" width="20" bestFit="1" customWidth="1"/>
    <col min="4" max="4" width="18.75" customWidth="1"/>
    <col min="5" max="5" width="32.625" bestFit="1" customWidth="1"/>
    <col min="6" max="6" width="2.375" customWidth="1"/>
    <col min="7" max="7" width="15.375" customWidth="1"/>
    <col min="8" max="8" width="39.25" style="17" bestFit="1" customWidth="1"/>
  </cols>
  <sheetData>
    <row r="2" spans="2:10" s="49" customFormat="1" ht="14.25">
      <c r="B2" s="49" t="s">
        <v>121</v>
      </c>
      <c r="H2" s="50"/>
    </row>
    <row r="3" spans="2:10" s="47" customFormat="1" ht="6.75" customHeight="1">
      <c r="H3" s="48"/>
    </row>
    <row r="4" spans="2:10">
      <c r="C4" t="s">
        <v>122</v>
      </c>
    </row>
    <row r="6" spans="2:10">
      <c r="C6" s="44" t="s">
        <v>38</v>
      </c>
      <c r="D6" s="12"/>
      <c r="E6" s="13"/>
      <c r="F6" s="13"/>
      <c r="G6" s="13"/>
      <c r="H6" s="28"/>
      <c r="I6" s="13"/>
      <c r="J6" s="14"/>
    </row>
    <row r="7" spans="2:10">
      <c r="C7" s="44" t="s">
        <v>1</v>
      </c>
      <c r="D7" s="12"/>
      <c r="E7" s="13"/>
      <c r="F7" s="13"/>
      <c r="G7" s="13"/>
      <c r="H7" s="28"/>
      <c r="I7" s="13"/>
      <c r="J7" s="14"/>
    </row>
    <row r="8" spans="2:10">
      <c r="C8" s="45"/>
    </row>
    <row r="9" spans="2:10">
      <c r="C9" s="44" t="s">
        <v>37</v>
      </c>
      <c r="D9" s="38"/>
    </row>
    <row r="10" spans="2:10">
      <c r="C10" s="44" t="s">
        <v>79</v>
      </c>
      <c r="D10" s="39"/>
    </row>
    <row r="12" spans="2:10">
      <c r="C12" s="15" t="s">
        <v>41</v>
      </c>
      <c r="D12" s="15" t="s">
        <v>39</v>
      </c>
      <c r="E12" s="15" t="s">
        <v>40</v>
      </c>
      <c r="G12" s="15" t="s">
        <v>36</v>
      </c>
      <c r="H12" s="29" t="s">
        <v>35</v>
      </c>
    </row>
    <row r="13" spans="2:10">
      <c r="C13" s="22"/>
      <c r="D13" s="38"/>
      <c r="E13" s="23"/>
      <c r="F13" s="40"/>
      <c r="G13" s="25"/>
      <c r="H13" s="24"/>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1:L13"/>
  <sheetViews>
    <sheetView showGridLines="0" zoomScaleNormal="100" workbookViewId="0">
      <pane ySplit="12" topLeftCell="A13" activePane="bottomLeft" state="frozen"/>
      <selection activeCell="G49" sqref="G49"/>
      <selection pane="bottomLeft" activeCell="G49" sqref="G49"/>
    </sheetView>
  </sheetViews>
  <sheetFormatPr defaultRowHeight="13.5"/>
  <cols>
    <col min="1" max="2" width="3.625" customWidth="1"/>
    <col min="3" max="3" width="20" customWidth="1"/>
    <col min="4" max="4" width="15.875" customWidth="1"/>
    <col min="5" max="5" width="26.375" customWidth="1"/>
    <col min="6" max="6" width="2.375" customWidth="1"/>
    <col min="7" max="7" width="16.25" customWidth="1"/>
    <col min="8" max="8" width="46.875" customWidth="1"/>
  </cols>
  <sheetData>
    <row r="1" spans="2:12">
      <c r="H1" s="17"/>
    </row>
    <row r="2" spans="2:12" s="49" customFormat="1" ht="14.25">
      <c r="B2" s="49" t="s">
        <v>125</v>
      </c>
      <c r="H2" s="50"/>
    </row>
    <row r="3" spans="2:12" s="47" customFormat="1" ht="6.75" customHeight="1">
      <c r="H3" s="48"/>
    </row>
    <row r="4" spans="2:12">
      <c r="C4" t="s">
        <v>126</v>
      </c>
      <c r="H4" s="17"/>
    </row>
    <row r="6" spans="2:12">
      <c r="C6" s="44" t="s">
        <v>38</v>
      </c>
      <c r="D6" s="35"/>
      <c r="E6" s="13"/>
      <c r="F6" s="13"/>
      <c r="G6" s="13"/>
      <c r="H6" s="13"/>
      <c r="I6" s="13"/>
      <c r="J6" s="13"/>
      <c r="K6" s="13"/>
      <c r="L6" s="14"/>
    </row>
    <row r="7" spans="2:12">
      <c r="C7" s="44" t="s">
        <v>1</v>
      </c>
      <c r="D7" s="35"/>
      <c r="E7" s="13"/>
      <c r="F7" s="13"/>
      <c r="G7" s="13"/>
      <c r="H7" s="13"/>
      <c r="I7" s="13"/>
      <c r="J7" s="13"/>
      <c r="K7" s="13"/>
      <c r="L7" s="14"/>
    </row>
    <row r="8" spans="2:12">
      <c r="C8" s="45"/>
      <c r="D8" s="43"/>
    </row>
    <row r="9" spans="2:12">
      <c r="C9" s="46" t="s">
        <v>37</v>
      </c>
      <c r="D9" s="35"/>
      <c r="E9" s="41"/>
      <c r="F9" s="42"/>
      <c r="G9" s="42"/>
    </row>
    <row r="10" spans="2:12">
      <c r="C10" s="44" t="s">
        <v>79</v>
      </c>
      <c r="D10" s="39"/>
      <c r="H10" s="17"/>
    </row>
    <row r="12" spans="2:12">
      <c r="C12" s="15" t="s">
        <v>42</v>
      </c>
      <c r="D12" s="15" t="s">
        <v>116</v>
      </c>
      <c r="E12" s="15" t="s">
        <v>115</v>
      </c>
      <c r="G12" s="15" t="s">
        <v>36</v>
      </c>
      <c r="H12" s="15" t="s">
        <v>35</v>
      </c>
    </row>
    <row r="13" spans="2:12">
      <c r="C13" s="10"/>
      <c r="D13" s="10"/>
      <c r="E13" s="10"/>
      <c r="G13" s="11"/>
      <c r="H13" s="16"/>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B2:I7"/>
  <sheetViews>
    <sheetView showGridLines="0" workbookViewId="0">
      <selection activeCell="G49" sqref="G49"/>
    </sheetView>
  </sheetViews>
  <sheetFormatPr defaultRowHeight="13.5"/>
  <cols>
    <col min="1" max="2" width="3.125" customWidth="1"/>
    <col min="3" max="3" width="31.375" bestFit="1" customWidth="1"/>
    <col min="4" max="5" width="12" customWidth="1"/>
  </cols>
  <sheetData>
    <row r="2" spans="2:9" s="49" customFormat="1" ht="14.25">
      <c r="B2" s="49" t="s">
        <v>128</v>
      </c>
      <c r="I2" s="50"/>
    </row>
    <row r="3" spans="2:9">
      <c r="D3" s="15" t="s">
        <v>37</v>
      </c>
      <c r="E3" s="15" t="s">
        <v>79</v>
      </c>
    </row>
    <row r="4" spans="2:9">
      <c r="C4" s="53" t="s">
        <v>127</v>
      </c>
      <c r="D4" s="51"/>
      <c r="E4" s="51"/>
    </row>
    <row r="5" spans="2:9">
      <c r="C5" s="53" t="s">
        <v>120</v>
      </c>
      <c r="D5" s="10"/>
      <c r="E5" s="10"/>
    </row>
    <row r="6" spans="2:9">
      <c r="C6" s="53" t="s">
        <v>124</v>
      </c>
      <c r="D6" s="10"/>
      <c r="E6" s="10"/>
    </row>
    <row r="7" spans="2:9">
      <c r="C7" s="52" t="s">
        <v>129</v>
      </c>
      <c r="D7" s="52"/>
      <c r="E7" s="52"/>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B2:Q12"/>
  <sheetViews>
    <sheetView showGridLines="0" workbookViewId="0"/>
  </sheetViews>
  <sheetFormatPr defaultRowHeight="13.5"/>
  <cols>
    <col min="1" max="2" width="3.5" customWidth="1"/>
    <col min="3" max="3" width="20" bestFit="1" customWidth="1"/>
    <col min="6" max="6" width="3.625" customWidth="1"/>
    <col min="7" max="7" width="11.5" customWidth="1"/>
    <col min="8" max="8" width="11.75" customWidth="1"/>
    <col min="10" max="10" width="34.875" customWidth="1"/>
    <col min="11" max="11" width="7.375" customWidth="1"/>
    <col min="12" max="12" width="3.875" customWidth="1"/>
    <col min="13" max="13" width="11.5" customWidth="1"/>
    <col min="14" max="14" width="11.75" customWidth="1"/>
    <col min="16" max="16" width="34.875" customWidth="1"/>
    <col min="17" max="17" width="7.375" customWidth="1"/>
  </cols>
  <sheetData>
    <row r="2" spans="2:17" s="49" customFormat="1" ht="14.25">
      <c r="B2" s="49" t="s">
        <v>375</v>
      </c>
      <c r="I2" s="50"/>
    </row>
    <row r="3" spans="2:17" s="47" customFormat="1" ht="6.75" customHeight="1">
      <c r="I3" s="48"/>
    </row>
    <row r="4" spans="2:17">
      <c r="C4" t="s">
        <v>383</v>
      </c>
      <c r="I4" s="17"/>
    </row>
    <row r="6" spans="2:17">
      <c r="C6" s="44" t="s">
        <v>38</v>
      </c>
      <c r="D6" s="12"/>
      <c r="E6" s="13"/>
      <c r="F6" s="13"/>
      <c r="G6" s="13"/>
      <c r="H6" s="13"/>
      <c r="I6" s="13"/>
      <c r="J6" s="13"/>
      <c r="K6" s="13"/>
      <c r="L6" s="13"/>
      <c r="M6" s="13"/>
      <c r="N6" s="13"/>
      <c r="O6" s="13"/>
      <c r="P6" s="13"/>
      <c r="Q6" s="14"/>
    </row>
    <row r="7" spans="2:17">
      <c r="C7" s="44" t="s">
        <v>369</v>
      </c>
      <c r="D7" s="12"/>
      <c r="E7" s="13"/>
      <c r="F7" s="13"/>
      <c r="G7" s="13"/>
      <c r="H7" s="13"/>
      <c r="I7" s="13"/>
      <c r="J7" s="13"/>
      <c r="K7" s="13"/>
      <c r="L7" s="13"/>
      <c r="M7" s="13"/>
      <c r="N7" s="13"/>
      <c r="O7" s="13"/>
      <c r="P7" s="13"/>
      <c r="Q7" s="14"/>
    </row>
    <row r="9" spans="2:17">
      <c r="G9" s="94" t="s">
        <v>344</v>
      </c>
      <c r="H9" s="94"/>
      <c r="I9" s="94"/>
      <c r="J9" s="94"/>
      <c r="K9" s="94"/>
      <c r="L9" s="93"/>
      <c r="M9" s="94" t="s">
        <v>345</v>
      </c>
      <c r="N9" s="94"/>
      <c r="O9" s="94"/>
      <c r="P9" s="94"/>
      <c r="Q9" s="94"/>
    </row>
    <row r="10" spans="2:17">
      <c r="C10" s="15" t="s">
        <v>41</v>
      </c>
      <c r="D10" s="15" t="s">
        <v>39</v>
      </c>
      <c r="E10" s="15" t="s">
        <v>340</v>
      </c>
      <c r="G10" s="15" t="s">
        <v>312</v>
      </c>
      <c r="H10" s="15" t="s">
        <v>309</v>
      </c>
      <c r="I10" s="15" t="s">
        <v>310</v>
      </c>
      <c r="J10" s="15" t="s">
        <v>40</v>
      </c>
      <c r="K10" s="15" t="s">
        <v>311</v>
      </c>
      <c r="L10" s="93"/>
      <c r="M10" s="15" t="s">
        <v>312</v>
      </c>
      <c r="N10" s="15" t="s">
        <v>309</v>
      </c>
      <c r="O10" s="15" t="s">
        <v>310</v>
      </c>
      <c r="P10" s="15" t="s">
        <v>40</v>
      </c>
      <c r="Q10" s="15" t="s">
        <v>311</v>
      </c>
    </row>
    <row r="11" spans="2:17" s="95" customFormat="1" ht="40.5">
      <c r="C11" s="24" t="s">
        <v>374</v>
      </c>
      <c r="D11" s="96">
        <v>1</v>
      </c>
      <c r="E11" s="96" t="s">
        <v>341</v>
      </c>
      <c r="G11" s="96" t="s">
        <v>370</v>
      </c>
      <c r="H11" s="97">
        <v>42039</v>
      </c>
      <c r="I11" s="96" t="s">
        <v>373</v>
      </c>
      <c r="J11" s="96" t="s">
        <v>372</v>
      </c>
      <c r="K11" s="96">
        <v>16652</v>
      </c>
      <c r="L11" s="115" t="s">
        <v>368</v>
      </c>
      <c r="M11" s="96" t="s">
        <v>370</v>
      </c>
      <c r="N11" s="97">
        <v>42039</v>
      </c>
      <c r="O11" s="96" t="s">
        <v>373</v>
      </c>
      <c r="P11" s="96" t="s">
        <v>372</v>
      </c>
      <c r="Q11" s="96">
        <v>16652</v>
      </c>
    </row>
    <row r="12" spans="2:17" s="95" customFormat="1">
      <c r="C12" s="24"/>
      <c r="D12" s="96"/>
      <c r="E12" s="96"/>
      <c r="G12" s="96"/>
      <c r="H12" s="97"/>
      <c r="I12" s="96"/>
      <c r="J12" s="96"/>
      <c r="K12" s="96"/>
      <c r="M12" s="96"/>
      <c r="N12" s="97"/>
      <c r="O12" s="96"/>
      <c r="P12" s="96"/>
      <c r="Q12" s="96"/>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B2:S13"/>
  <sheetViews>
    <sheetView showGridLines="0" topLeftCell="A2" workbookViewId="0">
      <selection activeCell="J10" sqref="J10:J11"/>
    </sheetView>
  </sheetViews>
  <sheetFormatPr defaultRowHeight="13.5"/>
  <cols>
    <col min="1" max="2" width="3.5" customWidth="1"/>
    <col min="3" max="3" width="20" bestFit="1" customWidth="1"/>
    <col min="4" max="4" width="20.125" customWidth="1"/>
    <col min="6" max="6" width="3.625" customWidth="1"/>
    <col min="7" max="7" width="11.5" customWidth="1"/>
    <col min="8" max="8" width="11.75" customWidth="1"/>
    <col min="9" max="9" width="10.5" bestFit="1" customWidth="1"/>
    <col min="10" max="10" width="34.875" customWidth="1"/>
    <col min="11" max="12" width="9" customWidth="1"/>
    <col min="13" max="13" width="3.875" customWidth="1"/>
    <col min="14" max="14" width="11.5" customWidth="1"/>
    <col min="15" max="15" width="5.25" bestFit="1" customWidth="1"/>
    <col min="16" max="16" width="12.375" customWidth="1"/>
    <col min="17" max="17" width="34.875" customWidth="1"/>
    <col min="18" max="19" width="9.5" customWidth="1"/>
  </cols>
  <sheetData>
    <row r="2" spans="2:19" s="49" customFormat="1" ht="14.25">
      <c r="B2" s="49" t="s">
        <v>375</v>
      </c>
      <c r="I2" s="50"/>
    </row>
    <row r="3" spans="2:19" s="47" customFormat="1" ht="6.75" customHeight="1">
      <c r="I3" s="48"/>
    </row>
    <row r="4" spans="2:19">
      <c r="C4" t="s">
        <v>383</v>
      </c>
      <c r="I4" s="17"/>
    </row>
    <row r="6" spans="2:19">
      <c r="C6" s="44" t="s">
        <v>38</v>
      </c>
      <c r="D6" s="12"/>
      <c r="E6" s="13"/>
      <c r="F6" s="13"/>
      <c r="G6" s="13"/>
      <c r="H6" s="13"/>
      <c r="I6" s="13"/>
      <c r="J6" s="13"/>
      <c r="K6" s="13"/>
      <c r="L6" s="13"/>
      <c r="M6" s="13"/>
      <c r="N6" s="13"/>
      <c r="O6" s="13"/>
      <c r="P6" s="13"/>
      <c r="Q6" s="13"/>
      <c r="R6" s="13"/>
      <c r="S6" s="14"/>
    </row>
    <row r="7" spans="2:19">
      <c r="C7" s="44" t="s">
        <v>369</v>
      </c>
      <c r="D7" s="12"/>
      <c r="E7" s="13"/>
      <c r="F7" s="13"/>
      <c r="G7" s="13"/>
      <c r="H7" s="13"/>
      <c r="I7" s="13"/>
      <c r="J7" s="13"/>
      <c r="K7" s="13"/>
      <c r="L7" s="13"/>
      <c r="M7" s="13"/>
      <c r="N7" s="13"/>
      <c r="O7" s="13"/>
      <c r="P7" s="13"/>
      <c r="Q7" s="13"/>
      <c r="R7" s="13"/>
      <c r="S7" s="14"/>
    </row>
    <row r="9" spans="2:19">
      <c r="G9" s="94" t="s">
        <v>344</v>
      </c>
      <c r="H9" s="94"/>
      <c r="I9" s="94"/>
      <c r="J9" s="94"/>
      <c r="K9" s="94"/>
      <c r="L9" s="94"/>
      <c r="M9" s="93"/>
      <c r="N9" s="94" t="s">
        <v>345</v>
      </c>
      <c r="O9" s="94"/>
      <c r="P9" s="94"/>
      <c r="Q9" s="94"/>
      <c r="R9" s="94"/>
      <c r="S9" s="94"/>
    </row>
    <row r="10" spans="2:19">
      <c r="G10" s="119" t="s">
        <v>312</v>
      </c>
      <c r="H10" s="119" t="s">
        <v>376</v>
      </c>
      <c r="I10" s="119" t="s">
        <v>309</v>
      </c>
      <c r="J10" s="119" t="s">
        <v>377</v>
      </c>
      <c r="K10" s="94" t="s">
        <v>355</v>
      </c>
      <c r="L10" s="94"/>
      <c r="M10" s="93"/>
      <c r="N10" s="119" t="s">
        <v>312</v>
      </c>
      <c r="O10" s="119" t="s">
        <v>376</v>
      </c>
      <c r="P10" s="119" t="s">
        <v>309</v>
      </c>
      <c r="Q10" s="119" t="s">
        <v>377</v>
      </c>
      <c r="R10" s="94" t="s">
        <v>355</v>
      </c>
      <c r="S10" s="94"/>
    </row>
    <row r="11" spans="2:19">
      <c r="C11" s="15" t="s">
        <v>41</v>
      </c>
      <c r="D11" s="15" t="s">
        <v>39</v>
      </c>
      <c r="E11" s="15" t="s">
        <v>340</v>
      </c>
      <c r="G11" s="120"/>
      <c r="H11" s="120"/>
      <c r="I11" s="120"/>
      <c r="J11" s="120"/>
      <c r="K11" s="15" t="s">
        <v>356</v>
      </c>
      <c r="L11" s="15" t="s">
        <v>357</v>
      </c>
      <c r="M11" s="93"/>
      <c r="N11" s="120"/>
      <c r="O11" s="120"/>
      <c r="P11" s="120"/>
      <c r="Q11" s="120"/>
      <c r="R11" s="15" t="s">
        <v>356</v>
      </c>
      <c r="S11" s="15" t="s">
        <v>357</v>
      </c>
    </row>
    <row r="12" spans="2:19" s="95" customFormat="1">
      <c r="C12" s="24" t="s">
        <v>381</v>
      </c>
      <c r="D12" s="96" t="s">
        <v>382</v>
      </c>
      <c r="E12" s="96" t="s">
        <v>341</v>
      </c>
      <c r="G12" s="96" t="s">
        <v>378</v>
      </c>
      <c r="H12" s="97" t="s">
        <v>371</v>
      </c>
      <c r="I12" s="97">
        <v>42037</v>
      </c>
      <c r="J12" s="96" t="s">
        <v>379</v>
      </c>
      <c r="K12" s="96">
        <v>115</v>
      </c>
      <c r="L12" s="96" t="s">
        <v>380</v>
      </c>
      <c r="M12" s="115" t="s">
        <v>368</v>
      </c>
      <c r="N12" s="96" t="s">
        <v>378</v>
      </c>
      <c r="O12" s="97" t="s">
        <v>371</v>
      </c>
      <c r="P12" s="97">
        <v>42037</v>
      </c>
      <c r="Q12" s="96" t="s">
        <v>379</v>
      </c>
      <c r="R12" s="96">
        <v>115</v>
      </c>
      <c r="S12" s="96" t="s">
        <v>380</v>
      </c>
    </row>
    <row r="13" spans="2:19" s="95" customFormat="1">
      <c r="C13" s="24"/>
      <c r="D13" s="96"/>
      <c r="E13" s="96"/>
      <c r="G13" s="96"/>
      <c r="H13" s="97"/>
      <c r="I13" s="97"/>
      <c r="J13" s="96"/>
      <c r="K13" s="96"/>
      <c r="L13" s="96"/>
      <c r="N13" s="96"/>
      <c r="O13" s="97"/>
      <c r="P13" s="97"/>
      <c r="Q13" s="96"/>
      <c r="R13" s="96"/>
      <c r="S13" s="96"/>
    </row>
  </sheetData>
  <mergeCells count="8">
    <mergeCell ref="O10:O11"/>
    <mergeCell ref="P10:P11"/>
    <mergeCell ref="Q10:Q11"/>
    <mergeCell ref="N10:N11"/>
    <mergeCell ref="G10:G11"/>
    <mergeCell ref="H10:H11"/>
    <mergeCell ref="I10:I11"/>
    <mergeCell ref="J10:J11"/>
  </mergeCells>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AM19"/>
  <sheetViews>
    <sheetView showGridLines="0" zoomScaleNormal="100" workbookViewId="0"/>
  </sheetViews>
  <sheetFormatPr defaultColWidth="0" defaultRowHeight="13.5" zeroHeight="1"/>
  <cols>
    <col min="1" max="3" width="3.5" customWidth="1"/>
    <col min="4" max="4" width="21.875" bestFit="1" customWidth="1"/>
    <col min="5" max="5" width="27.5" customWidth="1"/>
    <col min="6" max="7" width="3.5" customWidth="1"/>
    <col min="8" max="8" width="21.625" bestFit="1" customWidth="1"/>
    <col min="9" max="9" width="19" customWidth="1"/>
    <col min="10" max="32" width="3.5" customWidth="1"/>
    <col min="33" max="39" width="0" hidden="1" customWidth="1"/>
    <col min="40" max="16384" width="3.5" hidden="1"/>
  </cols>
  <sheetData>
    <row r="1" spans="2:31">
      <c r="E1" s="87" t="s">
        <v>83</v>
      </c>
    </row>
    <row r="2" spans="2:31" s="65" customFormat="1" ht="19.5" thickBot="1">
      <c r="B2" s="64" t="s">
        <v>265</v>
      </c>
      <c r="D2" s="63"/>
    </row>
    <row r="3" spans="2:31">
      <c r="C3" s="80"/>
      <c r="D3" s="72"/>
      <c r="E3" s="72">
        <v>8</v>
      </c>
      <c r="F3" s="72"/>
      <c r="G3" s="72"/>
      <c r="H3" s="72"/>
      <c r="I3" s="72"/>
      <c r="J3" s="72"/>
      <c r="K3" s="72"/>
      <c r="L3" s="72"/>
      <c r="M3" s="72"/>
      <c r="N3" s="72"/>
      <c r="O3" s="72"/>
      <c r="P3" s="72"/>
      <c r="Q3" s="72"/>
      <c r="R3" s="72"/>
      <c r="S3" s="72"/>
      <c r="T3" s="72"/>
      <c r="U3" s="72"/>
      <c r="V3" s="72"/>
      <c r="W3" s="72"/>
      <c r="X3" s="72"/>
      <c r="Y3" s="72"/>
      <c r="Z3" s="72"/>
      <c r="AA3" s="72"/>
      <c r="AB3" s="72"/>
      <c r="AC3" s="72"/>
      <c r="AD3" s="72"/>
      <c r="AE3" s="73"/>
    </row>
    <row r="4" spans="2:31">
      <c r="C4" s="74"/>
      <c r="D4" s="79" t="s">
        <v>73</v>
      </c>
      <c r="E4" s="88" t="str">
        <f>VLOOKUP($E$3,デバッグ用シート!$B:$F,ROW()-2,FALSE)</f>
        <v>単体試験</v>
      </c>
      <c r="F4" s="75"/>
      <c r="G4" s="75"/>
      <c r="H4" s="75"/>
      <c r="I4" s="75"/>
      <c r="J4" s="75"/>
      <c r="K4" s="75"/>
      <c r="L4" s="75"/>
      <c r="M4" s="75"/>
      <c r="N4" s="75"/>
      <c r="O4" s="75"/>
      <c r="P4" s="75"/>
      <c r="Q4" s="75"/>
      <c r="R4" s="75"/>
      <c r="S4" s="75"/>
      <c r="T4" s="75"/>
      <c r="U4" s="75"/>
      <c r="V4" s="75"/>
      <c r="W4" s="75"/>
      <c r="X4" s="75"/>
      <c r="Y4" s="75"/>
      <c r="Z4" s="75"/>
      <c r="AA4" s="75"/>
      <c r="AB4" s="75"/>
      <c r="AC4" s="75"/>
      <c r="AD4" s="75"/>
      <c r="AE4" s="76"/>
    </row>
    <row r="5" spans="2:31">
      <c r="C5" s="74"/>
      <c r="D5" s="79" t="s">
        <v>142</v>
      </c>
      <c r="E5" s="88" t="str">
        <f>VLOOKUP($E$3,デバッグ用シート!$B:$F,ROW()-2,FALSE)</f>
        <v>02_診断モニタ変更</v>
      </c>
      <c r="F5" s="75"/>
      <c r="G5" s="75"/>
      <c r="H5" s="75"/>
      <c r="I5" s="75"/>
      <c r="J5" s="75"/>
      <c r="K5" s="75"/>
      <c r="L5" s="75"/>
      <c r="M5" s="75"/>
      <c r="N5" s="75"/>
      <c r="O5" s="75"/>
      <c r="P5" s="75"/>
      <c r="Q5" s="75"/>
      <c r="R5" s="75"/>
      <c r="S5" s="75"/>
      <c r="T5" s="75"/>
      <c r="U5" s="75"/>
      <c r="V5" s="75"/>
      <c r="W5" s="75"/>
      <c r="X5" s="75"/>
      <c r="Y5" s="75"/>
      <c r="Z5" s="75"/>
      <c r="AA5" s="75"/>
      <c r="AB5" s="75"/>
      <c r="AC5" s="75"/>
      <c r="AD5" s="75"/>
      <c r="AE5" s="76"/>
    </row>
    <row r="6" spans="2:31">
      <c r="C6" s="74"/>
      <c r="D6" s="79" t="s">
        <v>0</v>
      </c>
      <c r="E6" s="121" t="str">
        <f>VLOOKUP($E$3,デバッグ用シート!$B:$F,ROW()-2,FALSE)</f>
        <v>C:\Coffer\svn_PTM\trunk\03_管理\30_ツール\test\TF2次プロト2nd単体試験項目書_02_診断モニタ変更_dgMonCanLocalComErr-16686_○2.xls</v>
      </c>
      <c r="F6" s="122"/>
      <c r="G6" s="122"/>
      <c r="H6" s="122"/>
      <c r="I6" s="122"/>
      <c r="J6" s="122"/>
      <c r="K6" s="122"/>
      <c r="L6" s="122"/>
      <c r="M6" s="122"/>
      <c r="N6" s="122"/>
      <c r="O6" s="122"/>
      <c r="P6" s="122"/>
      <c r="Q6" s="122"/>
      <c r="R6" s="122"/>
      <c r="S6" s="122"/>
      <c r="T6" s="122"/>
      <c r="U6" s="122"/>
      <c r="V6" s="122"/>
      <c r="W6" s="122"/>
      <c r="X6" s="122"/>
      <c r="Y6" s="122"/>
      <c r="Z6" s="122"/>
      <c r="AA6" s="122"/>
      <c r="AB6" s="123"/>
      <c r="AC6" s="75"/>
      <c r="AD6" s="75"/>
      <c r="AE6" s="76"/>
    </row>
    <row r="7" spans="2:31">
      <c r="C7" s="74"/>
      <c r="D7" s="79" t="s">
        <v>1</v>
      </c>
      <c r="E7" s="121" t="str">
        <f>VLOOKUP($E$3,デバッグ用シート!$B:$F,ROW()-2,FALSE)</f>
        <v>C:\Coffer\svn_PTM\test\11_TF2次プロト2nd\31_単体試験ログ</v>
      </c>
      <c r="F7" s="122"/>
      <c r="G7" s="122"/>
      <c r="H7" s="122"/>
      <c r="I7" s="122"/>
      <c r="J7" s="122"/>
      <c r="K7" s="122"/>
      <c r="L7" s="122"/>
      <c r="M7" s="122"/>
      <c r="N7" s="122"/>
      <c r="O7" s="122"/>
      <c r="P7" s="122"/>
      <c r="Q7" s="122"/>
      <c r="R7" s="122"/>
      <c r="S7" s="122"/>
      <c r="T7" s="122"/>
      <c r="U7" s="122"/>
      <c r="V7" s="122"/>
      <c r="W7" s="122"/>
      <c r="X7" s="122"/>
      <c r="Y7" s="122"/>
      <c r="Z7" s="122"/>
      <c r="AA7" s="122"/>
      <c r="AB7" s="123"/>
      <c r="AC7" s="75"/>
      <c r="AD7" s="75"/>
      <c r="AE7" s="76"/>
    </row>
    <row r="8" spans="2:31" ht="14.25" thickBot="1">
      <c r="C8" s="74"/>
      <c r="D8" s="75"/>
      <c r="E8" s="75"/>
      <c r="F8" s="75"/>
      <c r="G8" s="75"/>
      <c r="H8" s="75"/>
      <c r="I8" s="75"/>
      <c r="J8" s="75"/>
      <c r="K8" s="75"/>
      <c r="L8" s="75"/>
      <c r="M8" s="75"/>
      <c r="N8" s="75"/>
      <c r="O8" s="75"/>
      <c r="P8" s="75"/>
      <c r="Q8" s="75"/>
      <c r="R8" s="75"/>
      <c r="S8" s="75"/>
      <c r="T8" s="75"/>
      <c r="U8" s="75"/>
      <c r="V8" s="75"/>
      <c r="W8" s="75"/>
      <c r="X8" s="75"/>
      <c r="Y8" s="75"/>
      <c r="Z8" s="75"/>
      <c r="AA8" s="75"/>
      <c r="AB8" s="75"/>
      <c r="AC8" s="75"/>
      <c r="AD8" s="75"/>
      <c r="AE8" s="76"/>
    </row>
    <row r="9" spans="2:31">
      <c r="C9" s="74"/>
      <c r="D9" s="86" t="s">
        <v>264</v>
      </c>
      <c r="E9" s="81"/>
      <c r="F9" s="75"/>
      <c r="G9" s="113" t="s">
        <v>384</v>
      </c>
      <c r="H9" s="103"/>
      <c r="I9" s="103"/>
      <c r="J9" s="103"/>
      <c r="K9" s="103"/>
      <c r="L9" s="103"/>
      <c r="M9" s="103"/>
      <c r="N9" s="103"/>
      <c r="O9" s="103"/>
      <c r="P9" s="104"/>
      <c r="Q9" s="75"/>
      <c r="R9" s="99"/>
      <c r="S9" s="100"/>
      <c r="T9" s="100"/>
      <c r="U9" s="100"/>
      <c r="V9" s="100"/>
      <c r="W9" s="100"/>
      <c r="X9" s="100"/>
      <c r="Y9" s="100"/>
      <c r="Z9" s="100"/>
      <c r="AA9" s="100"/>
      <c r="AB9" s="100"/>
      <c r="AC9" s="100"/>
      <c r="AD9" s="100"/>
      <c r="AE9" s="100"/>
    </row>
    <row r="10" spans="2:31">
      <c r="C10" s="74"/>
      <c r="D10" s="82"/>
      <c r="E10" s="83"/>
      <c r="F10" s="75"/>
      <c r="G10" s="105"/>
      <c r="H10" s="114" t="s">
        <v>312</v>
      </c>
      <c r="I10" s="116" t="s">
        <v>411</v>
      </c>
      <c r="J10" s="106"/>
      <c r="K10" s="106"/>
      <c r="L10" s="106"/>
      <c r="M10" s="106"/>
      <c r="N10" s="106"/>
      <c r="O10" s="106"/>
      <c r="P10" s="107"/>
      <c r="Q10" s="75"/>
      <c r="R10" s="101"/>
      <c r="S10" s="102"/>
      <c r="T10" s="102"/>
      <c r="U10" s="102"/>
      <c r="V10" s="102"/>
      <c r="W10" s="102"/>
      <c r="X10" s="102"/>
      <c r="Y10" s="102"/>
      <c r="Z10" s="102"/>
      <c r="AA10" s="102"/>
      <c r="AB10" s="102"/>
      <c r="AC10" s="102"/>
      <c r="AD10" s="102"/>
      <c r="AE10" s="102"/>
    </row>
    <row r="11" spans="2:31">
      <c r="C11" s="74"/>
      <c r="D11" s="82"/>
      <c r="E11" s="83"/>
      <c r="F11" s="75"/>
      <c r="G11" s="105"/>
      <c r="H11" s="114" t="s">
        <v>309</v>
      </c>
      <c r="I11" s="117">
        <v>42113</v>
      </c>
      <c r="J11" s="106"/>
      <c r="K11" s="106"/>
      <c r="L11" s="106"/>
      <c r="M11" s="106"/>
      <c r="N11" s="106"/>
      <c r="O11" s="106"/>
      <c r="P11" s="107"/>
      <c r="Q11" s="75"/>
      <c r="R11" s="101"/>
      <c r="S11" s="102"/>
      <c r="T11" s="102"/>
      <c r="U11" s="102"/>
      <c r="V11" s="102"/>
      <c r="W11" s="102"/>
      <c r="X11" s="102"/>
      <c r="Y11" s="102"/>
      <c r="Z11" s="102"/>
      <c r="AA11" s="102"/>
      <c r="AB11" s="102"/>
      <c r="AC11" s="102"/>
      <c r="AD11" s="102"/>
      <c r="AE11" s="102"/>
    </row>
    <row r="12" spans="2:31">
      <c r="C12" s="74"/>
      <c r="D12" s="82"/>
      <c r="E12" s="83"/>
      <c r="F12" s="75"/>
      <c r="G12" s="105"/>
      <c r="H12" s="114" t="s">
        <v>310</v>
      </c>
      <c r="I12" s="118" t="s">
        <v>412</v>
      </c>
      <c r="J12" s="106"/>
      <c r="K12" s="106"/>
      <c r="L12" s="106"/>
      <c r="M12" s="106"/>
      <c r="N12" s="106"/>
      <c r="O12" s="106"/>
      <c r="P12" s="107"/>
      <c r="Q12" s="75"/>
      <c r="R12" s="101"/>
      <c r="S12" s="102"/>
      <c r="T12" s="102"/>
      <c r="U12" s="102"/>
      <c r="V12" s="102"/>
      <c r="W12" s="102"/>
      <c r="X12" s="102"/>
      <c r="Y12" s="102"/>
      <c r="Z12" s="102"/>
      <c r="AA12" s="102"/>
      <c r="AB12" s="102"/>
      <c r="AC12" s="102"/>
      <c r="AD12" s="102"/>
      <c r="AE12" s="102"/>
    </row>
    <row r="13" spans="2:31" ht="14.25" thickBot="1">
      <c r="C13" s="74"/>
      <c r="D13" s="84"/>
      <c r="E13" s="85"/>
      <c r="F13" s="75"/>
      <c r="G13" s="105"/>
      <c r="H13" s="114" t="s">
        <v>385</v>
      </c>
      <c r="I13" s="118" t="s">
        <v>389</v>
      </c>
      <c r="J13" s="106"/>
      <c r="K13" s="106"/>
      <c r="L13" s="106"/>
      <c r="M13" s="106"/>
      <c r="N13" s="106"/>
      <c r="O13" s="106"/>
      <c r="P13" s="107"/>
      <c r="Q13" s="75"/>
      <c r="R13" s="101"/>
      <c r="S13" s="102"/>
      <c r="T13" s="102"/>
      <c r="U13" s="102"/>
      <c r="V13" s="102"/>
      <c r="W13" s="102"/>
      <c r="X13" s="102"/>
      <c r="Y13" s="102"/>
      <c r="Z13" s="102"/>
      <c r="AA13" s="102"/>
      <c r="AB13" s="102"/>
      <c r="AC13" s="102"/>
      <c r="AD13" s="102"/>
      <c r="AE13" s="102"/>
    </row>
    <row r="14" spans="2:31">
      <c r="C14" s="74"/>
      <c r="D14" s="75"/>
      <c r="E14" s="75"/>
      <c r="F14" s="75"/>
      <c r="G14" s="105"/>
      <c r="H14" s="114" t="s">
        <v>388</v>
      </c>
      <c r="I14" s="116">
        <v>111</v>
      </c>
      <c r="J14" s="106"/>
      <c r="K14" s="106"/>
      <c r="L14" s="106"/>
      <c r="M14" s="106"/>
      <c r="N14" s="106"/>
      <c r="O14" s="106"/>
      <c r="P14" s="107"/>
      <c r="Q14" s="75"/>
      <c r="R14" s="101"/>
      <c r="S14" s="102"/>
      <c r="T14" s="102"/>
      <c r="U14" s="102"/>
      <c r="V14" s="102"/>
      <c r="W14" s="102"/>
      <c r="X14" s="102"/>
      <c r="Y14" s="102"/>
      <c r="Z14" s="102"/>
      <c r="AA14" s="102"/>
      <c r="AB14" s="102"/>
      <c r="AC14" s="102"/>
      <c r="AD14" s="102"/>
      <c r="AE14" s="102"/>
    </row>
    <row r="15" spans="2:31">
      <c r="C15" s="74"/>
      <c r="D15" s="75"/>
      <c r="E15" s="75"/>
      <c r="F15" s="75"/>
      <c r="G15" s="105"/>
      <c r="H15" s="114" t="s">
        <v>386</v>
      </c>
      <c r="I15" s="116"/>
      <c r="J15" s="106"/>
      <c r="K15" s="106"/>
      <c r="L15" s="106"/>
      <c r="M15" s="106"/>
      <c r="N15" s="106"/>
      <c r="O15" s="106"/>
      <c r="P15" s="107"/>
      <c r="Q15" s="75"/>
      <c r="R15" s="101"/>
      <c r="S15" s="102"/>
      <c r="T15" s="102"/>
      <c r="U15" s="102"/>
      <c r="V15" s="102"/>
      <c r="W15" s="102"/>
      <c r="X15" s="102"/>
      <c r="Y15" s="102"/>
      <c r="Z15" s="102"/>
      <c r="AA15" s="102"/>
      <c r="AB15" s="102"/>
      <c r="AC15" s="102"/>
      <c r="AD15" s="102"/>
      <c r="AE15" s="102"/>
    </row>
    <row r="16" spans="2:31">
      <c r="C16" s="74"/>
      <c r="D16" s="75"/>
      <c r="E16" s="75"/>
      <c r="F16" s="75"/>
      <c r="G16" s="105"/>
      <c r="H16" s="114" t="s">
        <v>387</v>
      </c>
      <c r="I16" s="116"/>
      <c r="J16" s="106"/>
      <c r="K16" s="106"/>
      <c r="L16" s="106"/>
      <c r="M16" s="106"/>
      <c r="N16" s="106"/>
      <c r="O16" s="106"/>
      <c r="P16" s="107"/>
      <c r="Q16" s="75"/>
      <c r="R16" s="101"/>
      <c r="S16" s="102"/>
      <c r="T16" s="102"/>
      <c r="U16" s="102"/>
      <c r="V16" s="102"/>
      <c r="W16" s="102"/>
      <c r="X16" s="102"/>
      <c r="Y16" s="102"/>
      <c r="Z16" s="102"/>
      <c r="AA16" s="102"/>
      <c r="AB16" s="102"/>
      <c r="AC16" s="102"/>
      <c r="AD16" s="102"/>
      <c r="AE16" s="102"/>
    </row>
    <row r="17" spans="3:31" ht="14.25" thickBot="1">
      <c r="C17" s="74"/>
      <c r="D17" s="75"/>
      <c r="E17" s="75"/>
      <c r="F17" s="75"/>
      <c r="G17" s="108"/>
      <c r="H17" s="109"/>
      <c r="I17" s="110"/>
      <c r="J17" s="111"/>
      <c r="K17" s="111"/>
      <c r="L17" s="111"/>
      <c r="M17" s="111"/>
      <c r="N17" s="111"/>
      <c r="O17" s="111"/>
      <c r="P17" s="112"/>
      <c r="Q17" s="75"/>
      <c r="R17" s="101"/>
      <c r="S17" s="102"/>
      <c r="T17" s="102"/>
      <c r="U17" s="102"/>
      <c r="V17" s="102"/>
      <c r="W17" s="102"/>
      <c r="X17" s="102"/>
      <c r="Y17" s="102"/>
      <c r="Z17" s="102"/>
      <c r="AA17" s="102"/>
      <c r="AB17" s="102"/>
      <c r="AC17" s="102"/>
      <c r="AD17" s="102"/>
      <c r="AE17" s="102"/>
    </row>
    <row r="18" spans="3:31" ht="14.25" thickBot="1">
      <c r="C18" s="77"/>
      <c r="D18" s="78"/>
      <c r="E18" s="78"/>
      <c r="F18" s="78"/>
      <c r="G18" s="78"/>
      <c r="H18" s="98"/>
      <c r="I18" s="78"/>
      <c r="J18" s="78"/>
      <c r="K18" s="78"/>
      <c r="L18" s="78"/>
      <c r="M18" s="78"/>
      <c r="N18" s="78"/>
      <c r="O18" s="78"/>
      <c r="P18" s="78"/>
      <c r="Q18" s="78"/>
      <c r="R18" s="101"/>
      <c r="S18" s="102"/>
      <c r="T18" s="102"/>
      <c r="U18" s="102"/>
      <c r="V18" s="102"/>
      <c r="W18" s="102"/>
      <c r="X18" s="102"/>
      <c r="Y18" s="102"/>
      <c r="Z18" s="102"/>
      <c r="AA18" s="102"/>
      <c r="AB18" s="102"/>
      <c r="AC18" s="102"/>
      <c r="AD18" s="102"/>
      <c r="AE18" s="102"/>
    </row>
    <row r="19" spans="3:31"/>
  </sheetData>
  <mergeCells count="2">
    <mergeCell ref="E6:AB6"/>
    <mergeCell ref="E7:AB7"/>
  </mergeCells>
  <phoneticPr fontId="2"/>
  <conditionalFormatting sqref="I15:I16">
    <cfRule type="expression" dxfId="1" priority="4">
      <formula>$E$4="単体試験"</formula>
    </cfRule>
  </conditionalFormatting>
  <conditionalFormatting sqref="I14">
    <cfRule type="expression" dxfId="0" priority="1">
      <formula>$E$4&lt;&gt;"単体試験"</formula>
    </cfRule>
  </conditionalFormatting>
  <dataValidations count="2">
    <dataValidation showInputMessage="1" showErrorMessage="1" sqref="E4:E5" xr:uid="{00000000-0002-0000-0900-000000000000}"/>
    <dataValidation type="list" showInputMessage="1" showErrorMessage="1" sqref="E1" xr:uid="{00000000-0002-0000-0900-000001000000}">
      <formula1>"単体試験,結合試験,機能試験,システム試験"</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0" r:id="rId4" name="Button 10">
              <controlPr defaultSize="0" print="0" autoFill="0" autoPict="0" macro="[0]!ChkButton_Click">
                <anchor moveWithCells="1" sizeWithCells="1">
                  <from>
                    <xdr:col>3</xdr:col>
                    <xdr:colOff>257175</xdr:colOff>
                    <xdr:row>9</xdr:row>
                    <xdr:rowOff>19050</xdr:rowOff>
                  </from>
                  <to>
                    <xdr:col>4</xdr:col>
                    <xdr:colOff>1876425</xdr:colOff>
                    <xdr:row>12</xdr:row>
                    <xdr:rowOff>0</xdr:rowOff>
                  </to>
                </anchor>
              </controlPr>
            </control>
          </mc:Choice>
        </mc:AlternateContent>
        <mc:AlternateContent xmlns:mc="http://schemas.openxmlformats.org/markup-compatibility/2006">
          <mc:Choice Requires="x14">
            <control shapeId="10259" r:id="rId5" name="Button 19">
              <controlPr defaultSize="0" print="0" autoFill="0" autoPict="0" macro="[0]!DocFilePathRefButton_Click">
                <anchor moveWithCells="1" sizeWithCells="1">
                  <from>
                    <xdr:col>29</xdr:col>
                    <xdr:colOff>0</xdr:colOff>
                    <xdr:row>5</xdr:row>
                    <xdr:rowOff>0</xdr:rowOff>
                  </from>
                  <to>
                    <xdr:col>30</xdr:col>
                    <xdr:colOff>0</xdr:colOff>
                    <xdr:row>6</xdr:row>
                    <xdr:rowOff>0</xdr:rowOff>
                  </to>
                </anchor>
              </controlPr>
            </control>
          </mc:Choice>
        </mc:AlternateContent>
        <mc:AlternateContent xmlns:mc="http://schemas.openxmlformats.org/markup-compatibility/2006">
          <mc:Choice Requires="x14">
            <control shapeId="10260" r:id="rId6" name="Button 20">
              <controlPr defaultSize="0" print="0" autoFill="0" autoPict="0" macro="[0]!LogDirPathRefButton_Click">
                <anchor moveWithCells="1" sizeWithCells="1">
                  <from>
                    <xdr:col>29</xdr:col>
                    <xdr:colOff>0</xdr:colOff>
                    <xdr:row>6</xdr:row>
                    <xdr:rowOff>0</xdr:rowOff>
                  </from>
                  <to>
                    <xdr:col>30</xdr:col>
                    <xdr:colOff>0</xdr:colOff>
                    <xdr:row>7</xdr:row>
                    <xdr:rowOff>0</xdr:rowOff>
                  </to>
                </anchor>
              </controlPr>
            </control>
          </mc:Choice>
        </mc:AlternateContent>
        <mc:AlternateContent xmlns:mc="http://schemas.openxmlformats.org/markup-compatibility/2006">
          <mc:Choice Requires="x14">
            <control shapeId="10277" r:id="rId7" name="Button 37">
              <controlPr defaultSize="0" print="0" autoFill="0" autoPict="0" macro="[0]!WriTestRsltButton_Click">
                <anchor moveWithCells="1" sizeWithCells="1">
                  <from>
                    <xdr:col>10</xdr:col>
                    <xdr:colOff>0</xdr:colOff>
                    <xdr:row>9</xdr:row>
                    <xdr:rowOff>0</xdr:rowOff>
                  </from>
                  <to>
                    <xdr:col>15</xdr:col>
                    <xdr:colOff>0</xdr:colOff>
                    <xdr:row>16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B1:WVO14"/>
  <sheetViews>
    <sheetView showGridLines="0" workbookViewId="0">
      <pane ySplit="4" topLeftCell="A5" activePane="bottomLeft" state="frozen"/>
      <selection pane="bottomLeft" activeCell="A5" sqref="A5"/>
    </sheetView>
  </sheetViews>
  <sheetFormatPr defaultColWidth="0" defaultRowHeight="13.5" customHeight="1" zeroHeight="1"/>
  <cols>
    <col min="1" max="2" width="2.625" style="55" customWidth="1"/>
    <col min="3" max="3" width="12" style="56" customWidth="1"/>
    <col min="4" max="4" width="11.625" style="56" bestFit="1" customWidth="1"/>
    <col min="5" max="5" width="7.5" style="56" customWidth="1"/>
    <col min="6" max="6" width="84.125" style="56" customWidth="1"/>
    <col min="7" max="7" width="2.625" style="55" customWidth="1"/>
    <col min="8" max="256" width="9" style="55" hidden="1" customWidth="1"/>
    <col min="257" max="258" width="2.625" style="55" hidden="1" customWidth="1"/>
    <col min="259" max="259" width="12" style="55" hidden="1" customWidth="1"/>
    <col min="260" max="260" width="11.625" style="55" hidden="1" customWidth="1"/>
    <col min="261" max="261" width="7.5" style="55" hidden="1" customWidth="1"/>
    <col min="262" max="262" width="84.125" style="55" hidden="1" customWidth="1"/>
    <col min="263" max="263" width="2.625" style="55" hidden="1" customWidth="1"/>
    <col min="264" max="512" width="0" style="55" hidden="1"/>
    <col min="513" max="514" width="2.625" style="55" hidden="1" customWidth="1"/>
    <col min="515" max="515" width="12" style="55" hidden="1" customWidth="1"/>
    <col min="516" max="516" width="11.625" style="55" hidden="1" customWidth="1"/>
    <col min="517" max="517" width="7.5" style="55" hidden="1" customWidth="1"/>
    <col min="518" max="518" width="84.125" style="55" hidden="1" customWidth="1"/>
    <col min="519" max="519" width="2.625" style="55" hidden="1" customWidth="1"/>
    <col min="520" max="768" width="0" style="55" hidden="1"/>
    <col min="769" max="770" width="2.625" style="55" hidden="1" customWidth="1"/>
    <col min="771" max="771" width="12" style="55" hidden="1" customWidth="1"/>
    <col min="772" max="772" width="11.625" style="55" hidden="1" customWidth="1"/>
    <col min="773" max="773" width="7.5" style="55" hidden="1" customWidth="1"/>
    <col min="774" max="774" width="84.125" style="55" hidden="1" customWidth="1"/>
    <col min="775" max="775" width="2.625" style="55" hidden="1" customWidth="1"/>
    <col min="776" max="1024" width="0" style="55" hidden="1"/>
    <col min="1025" max="1026" width="2.625" style="55" hidden="1" customWidth="1"/>
    <col min="1027" max="1027" width="12" style="55" hidden="1" customWidth="1"/>
    <col min="1028" max="1028" width="11.625" style="55" hidden="1" customWidth="1"/>
    <col min="1029" max="1029" width="7.5" style="55" hidden="1" customWidth="1"/>
    <col min="1030" max="1030" width="84.125" style="55" hidden="1" customWidth="1"/>
    <col min="1031" max="1031" width="2.625" style="55" hidden="1" customWidth="1"/>
    <col min="1032" max="1280" width="0" style="55" hidden="1"/>
    <col min="1281" max="1282" width="2.625" style="55" hidden="1" customWidth="1"/>
    <col min="1283" max="1283" width="12" style="55" hidden="1" customWidth="1"/>
    <col min="1284" max="1284" width="11.625" style="55" hidden="1" customWidth="1"/>
    <col min="1285" max="1285" width="7.5" style="55" hidden="1" customWidth="1"/>
    <col min="1286" max="1286" width="84.125" style="55" hidden="1" customWidth="1"/>
    <col min="1287" max="1287" width="2.625" style="55" hidden="1" customWidth="1"/>
    <col min="1288" max="1536" width="0" style="55" hidden="1"/>
    <col min="1537" max="1538" width="2.625" style="55" hidden="1" customWidth="1"/>
    <col min="1539" max="1539" width="12" style="55" hidden="1" customWidth="1"/>
    <col min="1540" max="1540" width="11.625" style="55" hidden="1" customWidth="1"/>
    <col min="1541" max="1541" width="7.5" style="55" hidden="1" customWidth="1"/>
    <col min="1542" max="1542" width="84.125" style="55" hidden="1" customWidth="1"/>
    <col min="1543" max="1543" width="2.625" style="55" hidden="1" customWidth="1"/>
    <col min="1544" max="1792" width="0" style="55" hidden="1"/>
    <col min="1793" max="1794" width="2.625" style="55" hidden="1" customWidth="1"/>
    <col min="1795" max="1795" width="12" style="55" hidden="1" customWidth="1"/>
    <col min="1796" max="1796" width="11.625" style="55" hidden="1" customWidth="1"/>
    <col min="1797" max="1797" width="7.5" style="55" hidden="1" customWidth="1"/>
    <col min="1798" max="1798" width="84.125" style="55" hidden="1" customWidth="1"/>
    <col min="1799" max="1799" width="2.625" style="55" hidden="1" customWidth="1"/>
    <col min="1800" max="2048" width="0" style="55" hidden="1"/>
    <col min="2049" max="2050" width="2.625" style="55" hidden="1" customWidth="1"/>
    <col min="2051" max="2051" width="12" style="55" hidden="1" customWidth="1"/>
    <col min="2052" max="2052" width="11.625" style="55" hidden="1" customWidth="1"/>
    <col min="2053" max="2053" width="7.5" style="55" hidden="1" customWidth="1"/>
    <col min="2054" max="2054" width="84.125" style="55" hidden="1" customWidth="1"/>
    <col min="2055" max="2055" width="2.625" style="55" hidden="1" customWidth="1"/>
    <col min="2056" max="2304" width="0" style="55" hidden="1"/>
    <col min="2305" max="2306" width="2.625" style="55" hidden="1" customWidth="1"/>
    <col min="2307" max="2307" width="12" style="55" hidden="1" customWidth="1"/>
    <col min="2308" max="2308" width="11.625" style="55" hidden="1" customWidth="1"/>
    <col min="2309" max="2309" width="7.5" style="55" hidden="1" customWidth="1"/>
    <col min="2310" max="2310" width="84.125" style="55" hidden="1" customWidth="1"/>
    <col min="2311" max="2311" width="2.625" style="55" hidden="1" customWidth="1"/>
    <col min="2312" max="2560" width="0" style="55" hidden="1"/>
    <col min="2561" max="2562" width="2.625" style="55" hidden="1" customWidth="1"/>
    <col min="2563" max="2563" width="12" style="55" hidden="1" customWidth="1"/>
    <col min="2564" max="2564" width="11.625" style="55" hidden="1" customWidth="1"/>
    <col min="2565" max="2565" width="7.5" style="55" hidden="1" customWidth="1"/>
    <col min="2566" max="2566" width="84.125" style="55" hidden="1" customWidth="1"/>
    <col min="2567" max="2567" width="2.625" style="55" hidden="1" customWidth="1"/>
    <col min="2568" max="2816" width="0" style="55" hidden="1"/>
    <col min="2817" max="2818" width="2.625" style="55" hidden="1" customWidth="1"/>
    <col min="2819" max="2819" width="12" style="55" hidden="1" customWidth="1"/>
    <col min="2820" max="2820" width="11.625" style="55" hidden="1" customWidth="1"/>
    <col min="2821" max="2821" width="7.5" style="55" hidden="1" customWidth="1"/>
    <col min="2822" max="2822" width="84.125" style="55" hidden="1" customWidth="1"/>
    <col min="2823" max="2823" width="2.625" style="55" hidden="1" customWidth="1"/>
    <col min="2824" max="3072" width="0" style="55" hidden="1"/>
    <col min="3073" max="3074" width="2.625" style="55" hidden="1" customWidth="1"/>
    <col min="3075" max="3075" width="12" style="55" hidden="1" customWidth="1"/>
    <col min="3076" max="3076" width="11.625" style="55" hidden="1" customWidth="1"/>
    <col min="3077" max="3077" width="7.5" style="55" hidden="1" customWidth="1"/>
    <col min="3078" max="3078" width="84.125" style="55" hidden="1" customWidth="1"/>
    <col min="3079" max="3079" width="2.625" style="55" hidden="1" customWidth="1"/>
    <col min="3080" max="3328" width="0" style="55" hidden="1"/>
    <col min="3329" max="3330" width="2.625" style="55" hidden="1" customWidth="1"/>
    <col min="3331" max="3331" width="12" style="55" hidden="1" customWidth="1"/>
    <col min="3332" max="3332" width="11.625" style="55" hidden="1" customWidth="1"/>
    <col min="3333" max="3333" width="7.5" style="55" hidden="1" customWidth="1"/>
    <col min="3334" max="3334" width="84.125" style="55" hidden="1" customWidth="1"/>
    <col min="3335" max="3335" width="2.625" style="55" hidden="1" customWidth="1"/>
    <col min="3336" max="3584" width="0" style="55" hidden="1"/>
    <col min="3585" max="3586" width="2.625" style="55" hidden="1" customWidth="1"/>
    <col min="3587" max="3587" width="12" style="55" hidden="1" customWidth="1"/>
    <col min="3588" max="3588" width="11.625" style="55" hidden="1" customWidth="1"/>
    <col min="3589" max="3589" width="7.5" style="55" hidden="1" customWidth="1"/>
    <col min="3590" max="3590" width="84.125" style="55" hidden="1" customWidth="1"/>
    <col min="3591" max="3591" width="2.625" style="55" hidden="1" customWidth="1"/>
    <col min="3592" max="3840" width="0" style="55" hidden="1"/>
    <col min="3841" max="3842" width="2.625" style="55" hidden="1" customWidth="1"/>
    <col min="3843" max="3843" width="12" style="55" hidden="1" customWidth="1"/>
    <col min="3844" max="3844" width="11.625" style="55" hidden="1" customWidth="1"/>
    <col min="3845" max="3845" width="7.5" style="55" hidden="1" customWidth="1"/>
    <col min="3846" max="3846" width="84.125" style="55" hidden="1" customWidth="1"/>
    <col min="3847" max="3847" width="2.625" style="55" hidden="1" customWidth="1"/>
    <col min="3848" max="4096" width="0" style="55" hidden="1"/>
    <col min="4097" max="4098" width="2.625" style="55" hidden="1" customWidth="1"/>
    <col min="4099" max="4099" width="12" style="55" hidden="1" customWidth="1"/>
    <col min="4100" max="4100" width="11.625" style="55" hidden="1" customWidth="1"/>
    <col min="4101" max="4101" width="7.5" style="55" hidden="1" customWidth="1"/>
    <col min="4102" max="4102" width="84.125" style="55" hidden="1" customWidth="1"/>
    <col min="4103" max="4103" width="2.625" style="55" hidden="1" customWidth="1"/>
    <col min="4104" max="4352" width="0" style="55" hidden="1"/>
    <col min="4353" max="4354" width="2.625" style="55" hidden="1" customWidth="1"/>
    <col min="4355" max="4355" width="12" style="55" hidden="1" customWidth="1"/>
    <col min="4356" max="4356" width="11.625" style="55" hidden="1" customWidth="1"/>
    <col min="4357" max="4357" width="7.5" style="55" hidden="1" customWidth="1"/>
    <col min="4358" max="4358" width="84.125" style="55" hidden="1" customWidth="1"/>
    <col min="4359" max="4359" width="2.625" style="55" hidden="1" customWidth="1"/>
    <col min="4360" max="4608" width="0" style="55" hidden="1"/>
    <col min="4609" max="4610" width="2.625" style="55" hidden="1" customWidth="1"/>
    <col min="4611" max="4611" width="12" style="55" hidden="1" customWidth="1"/>
    <col min="4612" max="4612" width="11.625" style="55" hidden="1" customWidth="1"/>
    <col min="4613" max="4613" width="7.5" style="55" hidden="1" customWidth="1"/>
    <col min="4614" max="4614" width="84.125" style="55" hidden="1" customWidth="1"/>
    <col min="4615" max="4615" width="2.625" style="55" hidden="1" customWidth="1"/>
    <col min="4616" max="4864" width="0" style="55" hidden="1"/>
    <col min="4865" max="4866" width="2.625" style="55" hidden="1" customWidth="1"/>
    <col min="4867" max="4867" width="12" style="55" hidden="1" customWidth="1"/>
    <col min="4868" max="4868" width="11.625" style="55" hidden="1" customWidth="1"/>
    <col min="4869" max="4869" width="7.5" style="55" hidden="1" customWidth="1"/>
    <col min="4870" max="4870" width="84.125" style="55" hidden="1" customWidth="1"/>
    <col min="4871" max="4871" width="2.625" style="55" hidden="1" customWidth="1"/>
    <col min="4872" max="5120" width="0" style="55" hidden="1"/>
    <col min="5121" max="5122" width="2.625" style="55" hidden="1" customWidth="1"/>
    <col min="5123" max="5123" width="12" style="55" hidden="1" customWidth="1"/>
    <col min="5124" max="5124" width="11.625" style="55" hidden="1" customWidth="1"/>
    <col min="5125" max="5125" width="7.5" style="55" hidden="1" customWidth="1"/>
    <col min="5126" max="5126" width="84.125" style="55" hidden="1" customWidth="1"/>
    <col min="5127" max="5127" width="2.625" style="55" hidden="1" customWidth="1"/>
    <col min="5128" max="5376" width="0" style="55" hidden="1"/>
    <col min="5377" max="5378" width="2.625" style="55" hidden="1" customWidth="1"/>
    <col min="5379" max="5379" width="12" style="55" hidden="1" customWidth="1"/>
    <col min="5380" max="5380" width="11.625" style="55" hidden="1" customWidth="1"/>
    <col min="5381" max="5381" width="7.5" style="55" hidden="1" customWidth="1"/>
    <col min="5382" max="5382" width="84.125" style="55" hidden="1" customWidth="1"/>
    <col min="5383" max="5383" width="2.625" style="55" hidden="1" customWidth="1"/>
    <col min="5384" max="5632" width="0" style="55" hidden="1"/>
    <col min="5633" max="5634" width="2.625" style="55" hidden="1" customWidth="1"/>
    <col min="5635" max="5635" width="12" style="55" hidden="1" customWidth="1"/>
    <col min="5636" max="5636" width="11.625" style="55" hidden="1" customWidth="1"/>
    <col min="5637" max="5637" width="7.5" style="55" hidden="1" customWidth="1"/>
    <col min="5638" max="5638" width="84.125" style="55" hidden="1" customWidth="1"/>
    <col min="5639" max="5639" width="2.625" style="55" hidden="1" customWidth="1"/>
    <col min="5640" max="5888" width="0" style="55" hidden="1"/>
    <col min="5889" max="5890" width="2.625" style="55" hidden="1" customWidth="1"/>
    <col min="5891" max="5891" width="12" style="55" hidden="1" customWidth="1"/>
    <col min="5892" max="5892" width="11.625" style="55" hidden="1" customWidth="1"/>
    <col min="5893" max="5893" width="7.5" style="55" hidden="1" customWidth="1"/>
    <col min="5894" max="5894" width="84.125" style="55" hidden="1" customWidth="1"/>
    <col min="5895" max="5895" width="2.625" style="55" hidden="1" customWidth="1"/>
    <col min="5896" max="6144" width="0" style="55" hidden="1"/>
    <col min="6145" max="6146" width="2.625" style="55" hidden="1" customWidth="1"/>
    <col min="6147" max="6147" width="12" style="55" hidden="1" customWidth="1"/>
    <col min="6148" max="6148" width="11.625" style="55" hidden="1" customWidth="1"/>
    <col min="6149" max="6149" width="7.5" style="55" hidden="1" customWidth="1"/>
    <col min="6150" max="6150" width="84.125" style="55" hidden="1" customWidth="1"/>
    <col min="6151" max="6151" width="2.625" style="55" hidden="1" customWidth="1"/>
    <col min="6152" max="6400" width="0" style="55" hidden="1"/>
    <col min="6401" max="6402" width="2.625" style="55" hidden="1" customWidth="1"/>
    <col min="6403" max="6403" width="12" style="55" hidden="1" customWidth="1"/>
    <col min="6404" max="6404" width="11.625" style="55" hidden="1" customWidth="1"/>
    <col min="6405" max="6405" width="7.5" style="55" hidden="1" customWidth="1"/>
    <col min="6406" max="6406" width="84.125" style="55" hidden="1" customWidth="1"/>
    <col min="6407" max="6407" width="2.625" style="55" hidden="1" customWidth="1"/>
    <col min="6408" max="6656" width="0" style="55" hidden="1"/>
    <col min="6657" max="6658" width="2.625" style="55" hidden="1" customWidth="1"/>
    <col min="6659" max="6659" width="12" style="55" hidden="1" customWidth="1"/>
    <col min="6660" max="6660" width="11.625" style="55" hidden="1" customWidth="1"/>
    <col min="6661" max="6661" width="7.5" style="55" hidden="1" customWidth="1"/>
    <col min="6662" max="6662" width="84.125" style="55" hidden="1" customWidth="1"/>
    <col min="6663" max="6663" width="2.625" style="55" hidden="1" customWidth="1"/>
    <col min="6664" max="6912" width="0" style="55" hidden="1"/>
    <col min="6913" max="6914" width="2.625" style="55" hidden="1" customWidth="1"/>
    <col min="6915" max="6915" width="12" style="55" hidden="1" customWidth="1"/>
    <col min="6916" max="6916" width="11.625" style="55" hidden="1" customWidth="1"/>
    <col min="6917" max="6917" width="7.5" style="55" hidden="1" customWidth="1"/>
    <col min="6918" max="6918" width="84.125" style="55" hidden="1" customWidth="1"/>
    <col min="6919" max="6919" width="2.625" style="55" hidden="1" customWidth="1"/>
    <col min="6920" max="7168" width="0" style="55" hidden="1"/>
    <col min="7169" max="7170" width="2.625" style="55" hidden="1" customWidth="1"/>
    <col min="7171" max="7171" width="12" style="55" hidden="1" customWidth="1"/>
    <col min="7172" max="7172" width="11.625" style="55" hidden="1" customWidth="1"/>
    <col min="7173" max="7173" width="7.5" style="55" hidden="1" customWidth="1"/>
    <col min="7174" max="7174" width="84.125" style="55" hidden="1" customWidth="1"/>
    <col min="7175" max="7175" width="2.625" style="55" hidden="1" customWidth="1"/>
    <col min="7176" max="7424" width="0" style="55" hidden="1"/>
    <col min="7425" max="7426" width="2.625" style="55" hidden="1" customWidth="1"/>
    <col min="7427" max="7427" width="12" style="55" hidden="1" customWidth="1"/>
    <col min="7428" max="7428" width="11.625" style="55" hidden="1" customWidth="1"/>
    <col min="7429" max="7429" width="7.5" style="55" hidden="1" customWidth="1"/>
    <col min="7430" max="7430" width="84.125" style="55" hidden="1" customWidth="1"/>
    <col min="7431" max="7431" width="2.625" style="55" hidden="1" customWidth="1"/>
    <col min="7432" max="7680" width="0" style="55" hidden="1"/>
    <col min="7681" max="7682" width="2.625" style="55" hidden="1" customWidth="1"/>
    <col min="7683" max="7683" width="12" style="55" hidden="1" customWidth="1"/>
    <col min="7684" max="7684" width="11.625" style="55" hidden="1" customWidth="1"/>
    <col min="7685" max="7685" width="7.5" style="55" hidden="1" customWidth="1"/>
    <col min="7686" max="7686" width="84.125" style="55" hidden="1" customWidth="1"/>
    <col min="7687" max="7687" width="2.625" style="55" hidden="1" customWidth="1"/>
    <col min="7688" max="7936" width="0" style="55" hidden="1"/>
    <col min="7937" max="7938" width="2.625" style="55" hidden="1" customWidth="1"/>
    <col min="7939" max="7939" width="12" style="55" hidden="1" customWidth="1"/>
    <col min="7940" max="7940" width="11.625" style="55" hidden="1" customWidth="1"/>
    <col min="7941" max="7941" width="7.5" style="55" hidden="1" customWidth="1"/>
    <col min="7942" max="7942" width="84.125" style="55" hidden="1" customWidth="1"/>
    <col min="7943" max="7943" width="2.625" style="55" hidden="1" customWidth="1"/>
    <col min="7944" max="8192" width="0" style="55" hidden="1"/>
    <col min="8193" max="8194" width="2.625" style="55" hidden="1" customWidth="1"/>
    <col min="8195" max="8195" width="12" style="55" hidden="1" customWidth="1"/>
    <col min="8196" max="8196" width="11.625" style="55" hidden="1" customWidth="1"/>
    <col min="8197" max="8197" width="7.5" style="55" hidden="1" customWidth="1"/>
    <col min="8198" max="8198" width="84.125" style="55" hidden="1" customWidth="1"/>
    <col min="8199" max="8199" width="2.625" style="55" hidden="1" customWidth="1"/>
    <col min="8200" max="8448" width="0" style="55" hidden="1"/>
    <col min="8449" max="8450" width="2.625" style="55" hidden="1" customWidth="1"/>
    <col min="8451" max="8451" width="12" style="55" hidden="1" customWidth="1"/>
    <col min="8452" max="8452" width="11.625" style="55" hidden="1" customWidth="1"/>
    <col min="8453" max="8453" width="7.5" style="55" hidden="1" customWidth="1"/>
    <col min="8454" max="8454" width="84.125" style="55" hidden="1" customWidth="1"/>
    <col min="8455" max="8455" width="2.625" style="55" hidden="1" customWidth="1"/>
    <col min="8456" max="8704" width="0" style="55" hidden="1"/>
    <col min="8705" max="8706" width="2.625" style="55" hidden="1" customWidth="1"/>
    <col min="8707" max="8707" width="12" style="55" hidden="1" customWidth="1"/>
    <col min="8708" max="8708" width="11.625" style="55" hidden="1" customWidth="1"/>
    <col min="8709" max="8709" width="7.5" style="55" hidden="1" customWidth="1"/>
    <col min="8710" max="8710" width="84.125" style="55" hidden="1" customWidth="1"/>
    <col min="8711" max="8711" width="2.625" style="55" hidden="1" customWidth="1"/>
    <col min="8712" max="8960" width="0" style="55" hidden="1"/>
    <col min="8961" max="8962" width="2.625" style="55" hidden="1" customWidth="1"/>
    <col min="8963" max="8963" width="12" style="55" hidden="1" customWidth="1"/>
    <col min="8964" max="8964" width="11.625" style="55" hidden="1" customWidth="1"/>
    <col min="8965" max="8965" width="7.5" style="55" hidden="1" customWidth="1"/>
    <col min="8966" max="8966" width="84.125" style="55" hidden="1" customWidth="1"/>
    <col min="8967" max="8967" width="2.625" style="55" hidden="1" customWidth="1"/>
    <col min="8968" max="9216" width="0" style="55" hidden="1"/>
    <col min="9217" max="9218" width="2.625" style="55" hidden="1" customWidth="1"/>
    <col min="9219" max="9219" width="12" style="55" hidden="1" customWidth="1"/>
    <col min="9220" max="9220" width="11.625" style="55" hidden="1" customWidth="1"/>
    <col min="9221" max="9221" width="7.5" style="55" hidden="1" customWidth="1"/>
    <col min="9222" max="9222" width="84.125" style="55" hidden="1" customWidth="1"/>
    <col min="9223" max="9223" width="2.625" style="55" hidden="1" customWidth="1"/>
    <col min="9224" max="9472" width="0" style="55" hidden="1"/>
    <col min="9473" max="9474" width="2.625" style="55" hidden="1" customWidth="1"/>
    <col min="9475" max="9475" width="12" style="55" hidden="1" customWidth="1"/>
    <col min="9476" max="9476" width="11.625" style="55" hidden="1" customWidth="1"/>
    <col min="9477" max="9477" width="7.5" style="55" hidden="1" customWidth="1"/>
    <col min="9478" max="9478" width="84.125" style="55" hidden="1" customWidth="1"/>
    <col min="9479" max="9479" width="2.625" style="55" hidden="1" customWidth="1"/>
    <col min="9480" max="9728" width="0" style="55" hidden="1"/>
    <col min="9729" max="9730" width="2.625" style="55" hidden="1" customWidth="1"/>
    <col min="9731" max="9731" width="12" style="55" hidden="1" customWidth="1"/>
    <col min="9732" max="9732" width="11.625" style="55" hidden="1" customWidth="1"/>
    <col min="9733" max="9733" width="7.5" style="55" hidden="1" customWidth="1"/>
    <col min="9734" max="9734" width="84.125" style="55" hidden="1" customWidth="1"/>
    <col min="9735" max="9735" width="2.625" style="55" hidden="1" customWidth="1"/>
    <col min="9736" max="9984" width="0" style="55" hidden="1"/>
    <col min="9985" max="9986" width="2.625" style="55" hidden="1" customWidth="1"/>
    <col min="9987" max="9987" width="12" style="55" hidden="1" customWidth="1"/>
    <col min="9988" max="9988" width="11.625" style="55" hidden="1" customWidth="1"/>
    <col min="9989" max="9989" width="7.5" style="55" hidden="1" customWidth="1"/>
    <col min="9990" max="9990" width="84.125" style="55" hidden="1" customWidth="1"/>
    <col min="9991" max="9991" width="2.625" style="55" hidden="1" customWidth="1"/>
    <col min="9992" max="10240" width="0" style="55" hidden="1"/>
    <col min="10241" max="10242" width="2.625" style="55" hidden="1" customWidth="1"/>
    <col min="10243" max="10243" width="12" style="55" hidden="1" customWidth="1"/>
    <col min="10244" max="10244" width="11.625" style="55" hidden="1" customWidth="1"/>
    <col min="10245" max="10245" width="7.5" style="55" hidden="1" customWidth="1"/>
    <col min="10246" max="10246" width="84.125" style="55" hidden="1" customWidth="1"/>
    <col min="10247" max="10247" width="2.625" style="55" hidden="1" customWidth="1"/>
    <col min="10248" max="10496" width="0" style="55" hidden="1"/>
    <col min="10497" max="10498" width="2.625" style="55" hidden="1" customWidth="1"/>
    <col min="10499" max="10499" width="12" style="55" hidden="1" customWidth="1"/>
    <col min="10500" max="10500" width="11.625" style="55" hidden="1" customWidth="1"/>
    <col min="10501" max="10501" width="7.5" style="55" hidden="1" customWidth="1"/>
    <col min="10502" max="10502" width="84.125" style="55" hidden="1" customWidth="1"/>
    <col min="10503" max="10503" width="2.625" style="55" hidden="1" customWidth="1"/>
    <col min="10504" max="10752" width="0" style="55" hidden="1"/>
    <col min="10753" max="10754" width="2.625" style="55" hidden="1" customWidth="1"/>
    <col min="10755" max="10755" width="12" style="55" hidden="1" customWidth="1"/>
    <col min="10756" max="10756" width="11.625" style="55" hidden="1" customWidth="1"/>
    <col min="10757" max="10757" width="7.5" style="55" hidden="1" customWidth="1"/>
    <col min="10758" max="10758" width="84.125" style="55" hidden="1" customWidth="1"/>
    <col min="10759" max="10759" width="2.625" style="55" hidden="1" customWidth="1"/>
    <col min="10760" max="11008" width="0" style="55" hidden="1"/>
    <col min="11009" max="11010" width="2.625" style="55" hidden="1" customWidth="1"/>
    <col min="11011" max="11011" width="12" style="55" hidden="1" customWidth="1"/>
    <col min="11012" max="11012" width="11.625" style="55" hidden="1" customWidth="1"/>
    <col min="11013" max="11013" width="7.5" style="55" hidden="1" customWidth="1"/>
    <col min="11014" max="11014" width="84.125" style="55" hidden="1" customWidth="1"/>
    <col min="11015" max="11015" width="2.625" style="55" hidden="1" customWidth="1"/>
    <col min="11016" max="11264" width="0" style="55" hidden="1"/>
    <col min="11265" max="11266" width="2.625" style="55" hidden="1" customWidth="1"/>
    <col min="11267" max="11267" width="12" style="55" hidden="1" customWidth="1"/>
    <col min="11268" max="11268" width="11.625" style="55" hidden="1" customWidth="1"/>
    <col min="11269" max="11269" width="7.5" style="55" hidden="1" customWidth="1"/>
    <col min="11270" max="11270" width="84.125" style="55" hidden="1" customWidth="1"/>
    <col min="11271" max="11271" width="2.625" style="55" hidden="1" customWidth="1"/>
    <col min="11272" max="11520" width="0" style="55" hidden="1"/>
    <col min="11521" max="11522" width="2.625" style="55" hidden="1" customWidth="1"/>
    <col min="11523" max="11523" width="12" style="55" hidden="1" customWidth="1"/>
    <col min="11524" max="11524" width="11.625" style="55" hidden="1" customWidth="1"/>
    <col min="11525" max="11525" width="7.5" style="55" hidden="1" customWidth="1"/>
    <col min="11526" max="11526" width="84.125" style="55" hidden="1" customWidth="1"/>
    <col min="11527" max="11527" width="2.625" style="55" hidden="1" customWidth="1"/>
    <col min="11528" max="11776" width="0" style="55" hidden="1"/>
    <col min="11777" max="11778" width="2.625" style="55" hidden="1" customWidth="1"/>
    <col min="11779" max="11779" width="12" style="55" hidden="1" customWidth="1"/>
    <col min="11780" max="11780" width="11.625" style="55" hidden="1" customWidth="1"/>
    <col min="11781" max="11781" width="7.5" style="55" hidden="1" customWidth="1"/>
    <col min="11782" max="11782" width="84.125" style="55" hidden="1" customWidth="1"/>
    <col min="11783" max="11783" width="2.625" style="55" hidden="1" customWidth="1"/>
    <col min="11784" max="12032" width="0" style="55" hidden="1"/>
    <col min="12033" max="12034" width="2.625" style="55" hidden="1" customWidth="1"/>
    <col min="12035" max="12035" width="12" style="55" hidden="1" customWidth="1"/>
    <col min="12036" max="12036" width="11.625" style="55" hidden="1" customWidth="1"/>
    <col min="12037" max="12037" width="7.5" style="55" hidden="1" customWidth="1"/>
    <col min="12038" max="12038" width="84.125" style="55" hidden="1" customWidth="1"/>
    <col min="12039" max="12039" width="2.625" style="55" hidden="1" customWidth="1"/>
    <col min="12040" max="12288" width="0" style="55" hidden="1"/>
    <col min="12289" max="12290" width="2.625" style="55" hidden="1" customWidth="1"/>
    <col min="12291" max="12291" width="12" style="55" hidden="1" customWidth="1"/>
    <col min="12292" max="12292" width="11.625" style="55" hidden="1" customWidth="1"/>
    <col min="12293" max="12293" width="7.5" style="55" hidden="1" customWidth="1"/>
    <col min="12294" max="12294" width="84.125" style="55" hidden="1" customWidth="1"/>
    <col min="12295" max="12295" width="2.625" style="55" hidden="1" customWidth="1"/>
    <col min="12296" max="12544" width="0" style="55" hidden="1"/>
    <col min="12545" max="12546" width="2.625" style="55" hidden="1" customWidth="1"/>
    <col min="12547" max="12547" width="12" style="55" hidden="1" customWidth="1"/>
    <col min="12548" max="12548" width="11.625" style="55" hidden="1" customWidth="1"/>
    <col min="12549" max="12549" width="7.5" style="55" hidden="1" customWidth="1"/>
    <col min="12550" max="12550" width="84.125" style="55" hidden="1" customWidth="1"/>
    <col min="12551" max="12551" width="2.625" style="55" hidden="1" customWidth="1"/>
    <col min="12552" max="12800" width="0" style="55" hidden="1"/>
    <col min="12801" max="12802" width="2.625" style="55" hidden="1" customWidth="1"/>
    <col min="12803" max="12803" width="12" style="55" hidden="1" customWidth="1"/>
    <col min="12804" max="12804" width="11.625" style="55" hidden="1" customWidth="1"/>
    <col min="12805" max="12805" width="7.5" style="55" hidden="1" customWidth="1"/>
    <col min="12806" max="12806" width="84.125" style="55" hidden="1" customWidth="1"/>
    <col min="12807" max="12807" width="2.625" style="55" hidden="1" customWidth="1"/>
    <col min="12808" max="13056" width="0" style="55" hidden="1"/>
    <col min="13057" max="13058" width="2.625" style="55" hidden="1" customWidth="1"/>
    <col min="13059" max="13059" width="12" style="55" hidden="1" customWidth="1"/>
    <col min="13060" max="13060" width="11.625" style="55" hidden="1" customWidth="1"/>
    <col min="13061" max="13061" width="7.5" style="55" hidden="1" customWidth="1"/>
    <col min="13062" max="13062" width="84.125" style="55" hidden="1" customWidth="1"/>
    <col min="13063" max="13063" width="2.625" style="55" hidden="1" customWidth="1"/>
    <col min="13064" max="13312" width="0" style="55" hidden="1"/>
    <col min="13313" max="13314" width="2.625" style="55" hidden="1" customWidth="1"/>
    <col min="13315" max="13315" width="12" style="55" hidden="1" customWidth="1"/>
    <col min="13316" max="13316" width="11.625" style="55" hidden="1" customWidth="1"/>
    <col min="13317" max="13317" width="7.5" style="55" hidden="1" customWidth="1"/>
    <col min="13318" max="13318" width="84.125" style="55" hidden="1" customWidth="1"/>
    <col min="13319" max="13319" width="2.625" style="55" hidden="1" customWidth="1"/>
    <col min="13320" max="13568" width="0" style="55" hidden="1"/>
    <col min="13569" max="13570" width="2.625" style="55" hidden="1" customWidth="1"/>
    <col min="13571" max="13571" width="12" style="55" hidden="1" customWidth="1"/>
    <col min="13572" max="13572" width="11.625" style="55" hidden="1" customWidth="1"/>
    <col min="13573" max="13573" width="7.5" style="55" hidden="1" customWidth="1"/>
    <col min="13574" max="13574" width="84.125" style="55" hidden="1" customWidth="1"/>
    <col min="13575" max="13575" width="2.625" style="55" hidden="1" customWidth="1"/>
    <col min="13576" max="13824" width="0" style="55" hidden="1"/>
    <col min="13825" max="13826" width="2.625" style="55" hidden="1" customWidth="1"/>
    <col min="13827" max="13827" width="12" style="55" hidden="1" customWidth="1"/>
    <col min="13828" max="13828" width="11.625" style="55" hidden="1" customWidth="1"/>
    <col min="13829" max="13829" width="7.5" style="55" hidden="1" customWidth="1"/>
    <col min="13830" max="13830" width="84.125" style="55" hidden="1" customWidth="1"/>
    <col min="13831" max="13831" width="2.625" style="55" hidden="1" customWidth="1"/>
    <col min="13832" max="14080" width="0" style="55" hidden="1"/>
    <col min="14081" max="14082" width="2.625" style="55" hidden="1" customWidth="1"/>
    <col min="14083" max="14083" width="12" style="55" hidden="1" customWidth="1"/>
    <col min="14084" max="14084" width="11.625" style="55" hidden="1" customWidth="1"/>
    <col min="14085" max="14085" width="7.5" style="55" hidden="1" customWidth="1"/>
    <col min="14086" max="14086" width="84.125" style="55" hidden="1" customWidth="1"/>
    <col min="14087" max="14087" width="2.625" style="55" hidden="1" customWidth="1"/>
    <col min="14088" max="14336" width="0" style="55" hidden="1"/>
    <col min="14337" max="14338" width="2.625" style="55" hidden="1" customWidth="1"/>
    <col min="14339" max="14339" width="12" style="55" hidden="1" customWidth="1"/>
    <col min="14340" max="14340" width="11.625" style="55" hidden="1" customWidth="1"/>
    <col min="14341" max="14341" width="7.5" style="55" hidden="1" customWidth="1"/>
    <col min="14342" max="14342" width="84.125" style="55" hidden="1" customWidth="1"/>
    <col min="14343" max="14343" width="2.625" style="55" hidden="1" customWidth="1"/>
    <col min="14344" max="14592" width="0" style="55" hidden="1"/>
    <col min="14593" max="14594" width="2.625" style="55" hidden="1" customWidth="1"/>
    <col min="14595" max="14595" width="12" style="55" hidden="1" customWidth="1"/>
    <col min="14596" max="14596" width="11.625" style="55" hidden="1" customWidth="1"/>
    <col min="14597" max="14597" width="7.5" style="55" hidden="1" customWidth="1"/>
    <col min="14598" max="14598" width="84.125" style="55" hidden="1" customWidth="1"/>
    <col min="14599" max="14599" width="2.625" style="55" hidden="1" customWidth="1"/>
    <col min="14600" max="14848" width="0" style="55" hidden="1"/>
    <col min="14849" max="14850" width="2.625" style="55" hidden="1" customWidth="1"/>
    <col min="14851" max="14851" width="12" style="55" hidden="1" customWidth="1"/>
    <col min="14852" max="14852" width="11.625" style="55" hidden="1" customWidth="1"/>
    <col min="14853" max="14853" width="7.5" style="55" hidden="1" customWidth="1"/>
    <col min="14854" max="14854" width="84.125" style="55" hidden="1" customWidth="1"/>
    <col min="14855" max="14855" width="2.625" style="55" hidden="1" customWidth="1"/>
    <col min="14856" max="15104" width="0" style="55" hidden="1"/>
    <col min="15105" max="15106" width="2.625" style="55" hidden="1" customWidth="1"/>
    <col min="15107" max="15107" width="12" style="55" hidden="1" customWidth="1"/>
    <col min="15108" max="15108" width="11.625" style="55" hidden="1" customWidth="1"/>
    <col min="15109" max="15109" width="7.5" style="55" hidden="1" customWidth="1"/>
    <col min="15110" max="15110" width="84.125" style="55" hidden="1" customWidth="1"/>
    <col min="15111" max="15111" width="2.625" style="55" hidden="1" customWidth="1"/>
    <col min="15112" max="15360" width="0" style="55" hidden="1"/>
    <col min="15361" max="15362" width="2.625" style="55" hidden="1" customWidth="1"/>
    <col min="15363" max="15363" width="12" style="55" hidden="1" customWidth="1"/>
    <col min="15364" max="15364" width="11.625" style="55" hidden="1" customWidth="1"/>
    <col min="15365" max="15365" width="7.5" style="55" hidden="1" customWidth="1"/>
    <col min="15366" max="15366" width="84.125" style="55" hidden="1" customWidth="1"/>
    <col min="15367" max="15367" width="2.625" style="55" hidden="1" customWidth="1"/>
    <col min="15368" max="15616" width="0" style="55" hidden="1"/>
    <col min="15617" max="15618" width="2.625" style="55" hidden="1" customWidth="1"/>
    <col min="15619" max="15619" width="12" style="55" hidden="1" customWidth="1"/>
    <col min="15620" max="15620" width="11.625" style="55" hidden="1" customWidth="1"/>
    <col min="15621" max="15621" width="7.5" style="55" hidden="1" customWidth="1"/>
    <col min="15622" max="15622" width="84.125" style="55" hidden="1" customWidth="1"/>
    <col min="15623" max="15623" width="2.625" style="55" hidden="1" customWidth="1"/>
    <col min="15624" max="15872" width="0" style="55" hidden="1"/>
    <col min="15873" max="15874" width="2.625" style="55" hidden="1" customWidth="1"/>
    <col min="15875" max="15875" width="12" style="55" hidden="1" customWidth="1"/>
    <col min="15876" max="15876" width="11.625" style="55" hidden="1" customWidth="1"/>
    <col min="15877" max="15877" width="7.5" style="55" hidden="1" customWidth="1"/>
    <col min="15878" max="15878" width="84.125" style="55" hidden="1" customWidth="1"/>
    <col min="15879" max="15879" width="2.625" style="55" hidden="1" customWidth="1"/>
    <col min="15880" max="16128" width="0" style="55" hidden="1"/>
    <col min="16129" max="16130" width="2.625" style="55" hidden="1" customWidth="1"/>
    <col min="16131" max="16131" width="12" style="55" hidden="1" customWidth="1"/>
    <col min="16132" max="16132" width="11.625" style="55" hidden="1" customWidth="1"/>
    <col min="16133" max="16133" width="7.5" style="55" hidden="1" customWidth="1"/>
    <col min="16134" max="16134" width="84.125" style="55" hidden="1" customWidth="1"/>
    <col min="16135" max="16135" width="2.625" style="55" hidden="1" customWidth="1"/>
    <col min="16136" max="16384" width="0" style="55" hidden="1"/>
  </cols>
  <sheetData>
    <row r="1" spans="2:6"/>
    <row r="2" spans="2:6" ht="17.25">
      <c r="B2" s="57" t="s">
        <v>154</v>
      </c>
    </row>
    <row r="3" spans="2:6"/>
    <row r="4" spans="2:6">
      <c r="C4" s="58" t="s">
        <v>155</v>
      </c>
      <c r="D4" s="58" t="s">
        <v>156</v>
      </c>
      <c r="E4" s="58" t="s">
        <v>157</v>
      </c>
      <c r="F4" s="58" t="s">
        <v>158</v>
      </c>
    </row>
    <row r="5" spans="2:6">
      <c r="C5" s="59">
        <v>42111</v>
      </c>
      <c r="D5" s="60" t="s">
        <v>159</v>
      </c>
      <c r="E5" s="60" t="s">
        <v>160</v>
      </c>
      <c r="F5" s="61" t="s">
        <v>161</v>
      </c>
    </row>
    <row r="6" spans="2:6">
      <c r="C6" s="59"/>
      <c r="D6" s="60"/>
      <c r="E6" s="60"/>
      <c r="F6" s="62"/>
    </row>
    <row r="7" spans="2:6">
      <c r="C7" s="59"/>
      <c r="D7" s="60"/>
      <c r="E7" s="60"/>
      <c r="F7" s="61"/>
    </row>
    <row r="8" spans="2:6">
      <c r="C8" s="59"/>
      <c r="D8" s="60"/>
      <c r="E8" s="60"/>
      <c r="F8" s="62"/>
    </row>
    <row r="9" spans="2:6">
      <c r="C9" s="59"/>
      <c r="D9" s="60"/>
      <c r="E9" s="60"/>
      <c r="F9" s="62"/>
    </row>
    <row r="10" spans="2:6">
      <c r="C10" s="59"/>
      <c r="D10" s="60"/>
      <c r="E10" s="60"/>
      <c r="F10" s="62"/>
    </row>
    <row r="11" spans="2:6">
      <c r="C11" s="59"/>
      <c r="D11" s="60"/>
      <c r="E11" s="60"/>
      <c r="F11" s="62"/>
    </row>
    <row r="12" spans="2:6">
      <c r="C12" s="59"/>
      <c r="D12" s="60"/>
      <c r="E12" s="60"/>
      <c r="F12" s="62"/>
    </row>
    <row r="13" spans="2:6">
      <c r="C13" s="60"/>
      <c r="D13" s="60"/>
      <c r="E13" s="60"/>
      <c r="F13" s="61"/>
    </row>
    <row r="14" spans="2:6"/>
  </sheetData>
  <phoneticPr fontId="2"/>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sheetPr>
  <dimension ref="B2:F10"/>
  <sheetViews>
    <sheetView workbookViewId="0">
      <selection activeCell="B9" sqref="B9"/>
    </sheetView>
  </sheetViews>
  <sheetFormatPr defaultRowHeight="13.5"/>
  <sheetData>
    <row r="2" spans="2:6">
      <c r="B2">
        <v>0</v>
      </c>
      <c r="C2" t="s">
        <v>83</v>
      </c>
      <c r="D2" t="s">
        <v>9</v>
      </c>
      <c r="E2" t="s">
        <v>106</v>
      </c>
      <c r="F2" t="s">
        <v>147</v>
      </c>
    </row>
    <row r="3" spans="2:6">
      <c r="B3">
        <v>1</v>
      </c>
      <c r="C3" t="s">
        <v>83</v>
      </c>
      <c r="D3" t="s">
        <v>9</v>
      </c>
      <c r="E3" t="s">
        <v>139</v>
      </c>
      <c r="F3" t="s">
        <v>148</v>
      </c>
    </row>
    <row r="4" spans="2:6">
      <c r="B4">
        <v>2</v>
      </c>
      <c r="C4" t="s">
        <v>107</v>
      </c>
      <c r="D4" t="s">
        <v>144</v>
      </c>
      <c r="E4" t="s">
        <v>108</v>
      </c>
      <c r="F4" t="s">
        <v>149</v>
      </c>
    </row>
    <row r="5" spans="2:6">
      <c r="B5">
        <v>3</v>
      </c>
      <c r="C5" t="s">
        <v>109</v>
      </c>
      <c r="D5" t="s">
        <v>145</v>
      </c>
      <c r="E5" t="s">
        <v>111</v>
      </c>
      <c r="F5" t="s">
        <v>150</v>
      </c>
    </row>
    <row r="6" spans="2:6">
      <c r="B6">
        <v>4</v>
      </c>
      <c r="C6" t="s">
        <v>109</v>
      </c>
      <c r="D6" t="s">
        <v>146</v>
      </c>
      <c r="E6" t="s">
        <v>110</v>
      </c>
      <c r="F6" t="s">
        <v>150</v>
      </c>
    </row>
    <row r="7" spans="2:6">
      <c r="B7">
        <v>5</v>
      </c>
      <c r="C7" t="s">
        <v>113</v>
      </c>
      <c r="D7" t="s">
        <v>143</v>
      </c>
      <c r="E7" t="s">
        <v>117</v>
      </c>
      <c r="F7" t="s">
        <v>112</v>
      </c>
    </row>
    <row r="8" spans="2:6">
      <c r="B8">
        <v>6</v>
      </c>
      <c r="C8" t="s">
        <v>113</v>
      </c>
      <c r="D8" t="s">
        <v>143</v>
      </c>
      <c r="E8" t="s">
        <v>132</v>
      </c>
      <c r="F8" t="s">
        <v>131</v>
      </c>
    </row>
    <row r="9" spans="2:6">
      <c r="B9">
        <v>7</v>
      </c>
      <c r="C9" t="s">
        <v>113</v>
      </c>
      <c r="D9" t="s">
        <v>143</v>
      </c>
      <c r="E9" t="s">
        <v>140</v>
      </c>
      <c r="F9" t="s">
        <v>141</v>
      </c>
    </row>
    <row r="10" spans="2:6">
      <c r="B10">
        <v>8</v>
      </c>
      <c r="C10" t="s">
        <v>83</v>
      </c>
      <c r="D10" t="s">
        <v>9</v>
      </c>
      <c r="E10" t="s">
        <v>413</v>
      </c>
      <c r="F10" t="s">
        <v>414</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0" tint="-0.499984740745262"/>
  </sheetPr>
  <dimension ref="B1:R31"/>
  <sheetViews>
    <sheetView topLeftCell="A16" zoomScaleNormal="100" workbookViewId="0">
      <selection activeCell="Q26" sqref="Q26"/>
    </sheetView>
  </sheetViews>
  <sheetFormatPr defaultColWidth="3" defaultRowHeight="13.5"/>
  <cols>
    <col min="1" max="1" width="3" style="18"/>
    <col min="2" max="3" width="6.5" style="18" bestFit="1" customWidth="1"/>
    <col min="4" max="15" width="3" style="18"/>
    <col min="16" max="16" width="27.25" style="18" bestFit="1" customWidth="1"/>
    <col min="17" max="17" width="45.25" style="19" customWidth="1"/>
    <col min="18" max="18" width="33.875" style="18" bestFit="1" customWidth="1"/>
    <col min="19" max="16384" width="3" style="18"/>
  </cols>
  <sheetData>
    <row r="1" spans="2:18">
      <c r="B1" s="18" t="s">
        <v>90</v>
      </c>
      <c r="C1" s="18" t="s">
        <v>91</v>
      </c>
    </row>
    <row r="2" spans="2:18">
      <c r="B2" s="34">
        <f>SUM(B3:B18)/7.5</f>
        <v>3.5333333333333332</v>
      </c>
      <c r="C2" s="34">
        <f>SUM(C3:C18)/7.5</f>
        <v>0.8666666666666667</v>
      </c>
      <c r="D2" s="27" t="s">
        <v>60</v>
      </c>
      <c r="E2" s="27"/>
      <c r="F2" s="27"/>
      <c r="G2" s="27"/>
      <c r="H2" s="27"/>
      <c r="I2" s="27"/>
      <c r="J2" s="27"/>
      <c r="K2" s="27"/>
      <c r="L2" s="27"/>
      <c r="M2" s="27"/>
      <c r="N2" s="27"/>
      <c r="O2" s="27"/>
      <c r="P2" s="27"/>
      <c r="Q2" s="21" t="s">
        <v>75</v>
      </c>
      <c r="R2" s="21" t="s">
        <v>59</v>
      </c>
    </row>
    <row r="3" spans="2:18">
      <c r="B3" s="18">
        <v>2</v>
      </c>
      <c r="C3" s="18">
        <v>1</v>
      </c>
      <c r="D3" s="18" t="s">
        <v>84</v>
      </c>
      <c r="Q3" s="19" t="s">
        <v>44</v>
      </c>
    </row>
    <row r="4" spans="2:18">
      <c r="B4" s="18">
        <v>0.5</v>
      </c>
      <c r="C4" s="18">
        <v>0.5</v>
      </c>
      <c r="D4" s="18" t="s">
        <v>86</v>
      </c>
      <c r="Q4" s="19" t="s">
        <v>52</v>
      </c>
    </row>
    <row r="5" spans="2:18">
      <c r="B5" s="18">
        <v>5</v>
      </c>
      <c r="C5" s="18">
        <v>4</v>
      </c>
      <c r="E5" s="18" t="s">
        <v>85</v>
      </c>
      <c r="Q5" s="19" t="s">
        <v>51</v>
      </c>
    </row>
    <row r="6" spans="2:18">
      <c r="B6" s="18" t="s">
        <v>76</v>
      </c>
      <c r="C6" s="18">
        <v>0.5</v>
      </c>
      <c r="E6" s="18" t="s">
        <v>87</v>
      </c>
      <c r="Q6" s="19" t="s">
        <v>88</v>
      </c>
    </row>
    <row r="7" spans="2:18">
      <c r="B7" s="18">
        <v>2</v>
      </c>
      <c r="C7" s="18">
        <v>0.5</v>
      </c>
      <c r="D7" s="18" t="s">
        <v>56</v>
      </c>
      <c r="Q7" s="19" t="s">
        <v>43</v>
      </c>
    </row>
    <row r="8" spans="2:18" ht="189">
      <c r="B8" s="18">
        <v>0.5</v>
      </c>
      <c r="D8" s="18" t="s">
        <v>80</v>
      </c>
      <c r="Q8" s="26" t="s">
        <v>70</v>
      </c>
    </row>
    <row r="9" spans="2:18">
      <c r="B9" s="18">
        <v>3</v>
      </c>
      <c r="E9" s="18" t="s">
        <v>96</v>
      </c>
      <c r="Q9" s="19" t="s">
        <v>81</v>
      </c>
    </row>
    <row r="10" spans="2:18">
      <c r="B10" s="18">
        <v>0.5</v>
      </c>
      <c r="E10" s="18" t="s">
        <v>97</v>
      </c>
      <c r="Q10" s="19" t="s">
        <v>82</v>
      </c>
    </row>
    <row r="11" spans="2:18" ht="54">
      <c r="B11" s="18">
        <v>0.5</v>
      </c>
      <c r="D11" s="18" t="s">
        <v>100</v>
      </c>
      <c r="Q11" s="26" t="s">
        <v>99</v>
      </c>
    </row>
    <row r="12" spans="2:18">
      <c r="B12" s="18">
        <v>3</v>
      </c>
      <c r="E12" s="18" t="s">
        <v>96</v>
      </c>
      <c r="Q12" s="19" t="s">
        <v>81</v>
      </c>
    </row>
    <row r="13" spans="2:18">
      <c r="B13" s="18">
        <v>0.5</v>
      </c>
      <c r="E13" s="18" t="s">
        <v>97</v>
      </c>
      <c r="Q13" s="19" t="s">
        <v>82</v>
      </c>
    </row>
    <row r="14" spans="2:18" ht="175.5">
      <c r="B14" s="18">
        <v>0.5</v>
      </c>
      <c r="D14" s="18" t="s">
        <v>114</v>
      </c>
      <c r="Q14" s="26" t="s">
        <v>98</v>
      </c>
    </row>
    <row r="15" spans="2:18">
      <c r="B15" s="18">
        <v>3</v>
      </c>
      <c r="E15" s="18" t="s">
        <v>96</v>
      </c>
      <c r="Q15" s="19" t="s">
        <v>81</v>
      </c>
    </row>
    <row r="16" spans="2:18">
      <c r="B16" s="18">
        <v>0.5</v>
      </c>
      <c r="E16" s="18" t="s">
        <v>97</v>
      </c>
      <c r="Q16" s="19" t="s">
        <v>82</v>
      </c>
    </row>
    <row r="17" spans="2:17">
      <c r="B17" s="18">
        <v>1</v>
      </c>
      <c r="D17" s="18" t="s">
        <v>77</v>
      </c>
      <c r="Q17" s="19" t="s">
        <v>57</v>
      </c>
    </row>
    <row r="18" spans="2:17">
      <c r="B18" s="18">
        <v>4</v>
      </c>
      <c r="D18" s="18" t="s">
        <v>78</v>
      </c>
      <c r="Q18" s="19" t="s">
        <v>58</v>
      </c>
    </row>
    <row r="23" spans="2:17">
      <c r="D23" s="18" t="s">
        <v>390</v>
      </c>
      <c r="P23" s="18" t="s">
        <v>401</v>
      </c>
      <c r="Q23" s="19" t="s">
        <v>407</v>
      </c>
    </row>
    <row r="24" spans="2:17" ht="27">
      <c r="E24" s="18" t="s">
        <v>395</v>
      </c>
      <c r="P24" s="18" t="s">
        <v>401</v>
      </c>
      <c r="Q24" s="19" t="s">
        <v>409</v>
      </c>
    </row>
    <row r="25" spans="2:17">
      <c r="F25" s="18" t="s">
        <v>402</v>
      </c>
      <c r="P25" s="18" t="s">
        <v>408</v>
      </c>
      <c r="Q25" s="19" t="s">
        <v>403</v>
      </c>
    </row>
    <row r="26" spans="2:17" ht="40.5">
      <c r="E26" s="18" t="s">
        <v>396</v>
      </c>
      <c r="Q26" s="19" t="s">
        <v>404</v>
      </c>
    </row>
    <row r="27" spans="2:17">
      <c r="D27" s="18" t="s">
        <v>391</v>
      </c>
      <c r="P27" s="18" t="s">
        <v>400</v>
      </c>
      <c r="Q27" s="19" t="s">
        <v>392</v>
      </c>
    </row>
    <row r="28" spans="2:17" ht="54">
      <c r="Q28" s="19" t="s">
        <v>406</v>
      </c>
    </row>
    <row r="29" spans="2:17" ht="40.5">
      <c r="E29" s="18" t="s">
        <v>396</v>
      </c>
      <c r="Q29" s="19" t="s">
        <v>405</v>
      </c>
    </row>
    <row r="31" spans="2:17">
      <c r="E31" s="18" t="s">
        <v>394</v>
      </c>
      <c r="Q31" s="19" t="s">
        <v>393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0" tint="-0.499984740745262"/>
  </sheetPr>
  <dimension ref="B2:AI26"/>
  <sheetViews>
    <sheetView showGridLines="0" workbookViewId="0">
      <selection activeCell="A19" sqref="A19"/>
    </sheetView>
  </sheetViews>
  <sheetFormatPr defaultColWidth="4.25" defaultRowHeight="13.5"/>
  <cols>
    <col min="2" max="2" width="4.25" style="2"/>
  </cols>
  <sheetData>
    <row r="2" spans="2:35">
      <c r="B2" s="20" t="s">
        <v>72</v>
      </c>
    </row>
    <row r="3" spans="2:35">
      <c r="C3" t="s">
        <v>73</v>
      </c>
      <c r="H3" t="s">
        <v>27</v>
      </c>
    </row>
    <row r="4" spans="2:35">
      <c r="C4" t="s">
        <v>74</v>
      </c>
    </row>
    <row r="5" spans="2:35">
      <c r="C5" t="s">
        <v>1</v>
      </c>
    </row>
    <row r="7" spans="2:35">
      <c r="B7" s="20" t="s">
        <v>68</v>
      </c>
      <c r="I7" t="s">
        <v>69</v>
      </c>
    </row>
    <row r="8" spans="2:35">
      <c r="C8" t="s">
        <v>45</v>
      </c>
    </row>
    <row r="9" spans="2:35">
      <c r="C9" t="s">
        <v>46</v>
      </c>
    </row>
    <row r="10" spans="2:35">
      <c r="D10" t="s">
        <v>47</v>
      </c>
    </row>
    <row r="11" spans="2:35">
      <c r="D11" s="1" t="s">
        <v>61</v>
      </c>
    </row>
    <row r="12" spans="2:35">
      <c r="D12" s="31" t="s">
        <v>62</v>
      </c>
    </row>
    <row r="13" spans="2:35">
      <c r="D13" t="s">
        <v>48</v>
      </c>
    </row>
    <row r="14" spans="2:35">
      <c r="E14" t="s">
        <v>49</v>
      </c>
    </row>
    <row r="15" spans="2:35">
      <c r="E15" t="s">
        <v>50</v>
      </c>
    </row>
    <row r="16" spans="2:35">
      <c r="C16" s="90" t="s">
        <v>272</v>
      </c>
      <c r="L16" s="1" t="s">
        <v>151</v>
      </c>
      <c r="M16" s="1"/>
      <c r="N16" s="1"/>
      <c r="O16" s="1"/>
      <c r="P16" s="1"/>
      <c r="Q16" s="1"/>
      <c r="R16" s="1"/>
      <c r="S16" s="1"/>
      <c r="T16" s="1"/>
      <c r="U16" s="1"/>
      <c r="V16" s="1"/>
      <c r="W16" s="1"/>
      <c r="X16" s="1"/>
      <c r="Y16" s="1"/>
      <c r="Z16" s="1"/>
      <c r="AA16" s="1"/>
      <c r="AB16" s="1"/>
      <c r="AC16" s="1"/>
      <c r="AD16" s="1"/>
      <c r="AE16" s="1"/>
      <c r="AF16" s="1"/>
      <c r="AG16" s="1"/>
      <c r="AH16" s="1"/>
      <c r="AI16" s="1" t="s">
        <v>71</v>
      </c>
    </row>
    <row r="17" spans="2:35">
      <c r="C17" s="33"/>
      <c r="L17" s="1" t="s">
        <v>152</v>
      </c>
      <c r="M17" s="1"/>
      <c r="N17" s="1"/>
      <c r="O17" s="1"/>
      <c r="P17" s="1"/>
      <c r="Q17" s="1"/>
      <c r="R17" s="1"/>
      <c r="S17" s="1"/>
      <c r="T17" s="1"/>
      <c r="U17" s="1"/>
      <c r="V17" s="1"/>
      <c r="W17" s="1"/>
      <c r="X17" s="1"/>
      <c r="Y17" s="1"/>
      <c r="Z17" s="1"/>
      <c r="AA17" s="1"/>
      <c r="AB17" s="1"/>
      <c r="AC17" s="1"/>
      <c r="AD17" s="1"/>
      <c r="AE17" s="1"/>
      <c r="AF17" s="1"/>
      <c r="AG17" s="1"/>
      <c r="AH17" s="1"/>
      <c r="AI17" s="1" t="s">
        <v>63</v>
      </c>
    </row>
    <row r="18" spans="2:35">
      <c r="C18" s="32"/>
      <c r="L18" s="1" t="s">
        <v>64</v>
      </c>
      <c r="M18" s="1"/>
      <c r="N18" s="1"/>
      <c r="O18" s="1"/>
      <c r="P18" s="1"/>
      <c r="Q18" s="1"/>
      <c r="R18" s="1"/>
      <c r="S18" s="1"/>
      <c r="T18" s="1"/>
      <c r="U18" s="1"/>
      <c r="V18" s="1"/>
      <c r="W18" s="1"/>
      <c r="X18" s="1"/>
      <c r="Y18" s="1"/>
      <c r="Z18" s="1"/>
      <c r="AA18" s="1"/>
      <c r="AB18" s="1"/>
      <c r="AC18" s="1"/>
      <c r="AD18" s="1"/>
      <c r="AE18" s="1"/>
      <c r="AF18" s="1"/>
      <c r="AG18" s="1"/>
      <c r="AH18" s="1"/>
      <c r="AI18" s="1" t="s">
        <v>63</v>
      </c>
    </row>
    <row r="19" spans="2:35">
      <c r="L19" s="89" t="s">
        <v>153</v>
      </c>
      <c r="M19" s="89"/>
      <c r="N19" s="89"/>
      <c r="O19" s="89"/>
      <c r="P19" s="89"/>
      <c r="Q19" s="89"/>
      <c r="R19" s="89"/>
      <c r="S19" s="89"/>
      <c r="T19" s="89"/>
      <c r="U19" s="89"/>
      <c r="V19" s="89"/>
      <c r="W19" s="89"/>
      <c r="X19" s="89"/>
      <c r="Y19" s="89"/>
      <c r="Z19" s="89"/>
      <c r="AA19" s="89"/>
      <c r="AB19" s="89"/>
      <c r="AC19" s="89"/>
      <c r="AD19" s="89"/>
      <c r="AE19" s="89"/>
      <c r="AF19" s="89"/>
      <c r="AG19" s="89"/>
      <c r="AH19" s="89"/>
      <c r="AI19" s="89" t="s">
        <v>71</v>
      </c>
    </row>
    <row r="20" spans="2:35">
      <c r="L20" s="89"/>
      <c r="M20" s="89"/>
      <c r="N20" s="89"/>
      <c r="O20" s="89"/>
      <c r="P20" s="89"/>
      <c r="Q20" s="89"/>
      <c r="R20" s="89"/>
      <c r="S20" s="89"/>
      <c r="T20" s="89"/>
      <c r="U20" s="89"/>
      <c r="V20" s="89"/>
      <c r="W20" s="89"/>
      <c r="X20" s="89"/>
      <c r="Y20" s="89"/>
      <c r="Z20" s="89"/>
      <c r="AA20" s="89"/>
      <c r="AB20" s="89"/>
      <c r="AC20" s="89"/>
      <c r="AD20" s="89"/>
      <c r="AE20" s="89"/>
      <c r="AF20" s="89"/>
      <c r="AG20" s="89"/>
      <c r="AH20" s="89"/>
      <c r="AI20" s="89"/>
    </row>
    <row r="23" spans="2:35">
      <c r="B23" s="2" t="s">
        <v>53</v>
      </c>
    </row>
    <row r="24" spans="2:35">
      <c r="C24" t="s">
        <v>54</v>
      </c>
    </row>
    <row r="25" spans="2:35">
      <c r="D25" t="s">
        <v>89</v>
      </c>
    </row>
    <row r="26" spans="2:35">
      <c r="D26" t="s">
        <v>55</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rgb="FFFFC000"/>
  </sheetPr>
  <dimension ref="B2:AV120"/>
  <sheetViews>
    <sheetView topLeftCell="A12" workbookViewId="0">
      <selection activeCell="D45" sqref="D45"/>
    </sheetView>
  </sheetViews>
  <sheetFormatPr defaultColWidth="3.5" defaultRowHeight="13.5"/>
  <cols>
    <col min="2" max="2" width="5.5" customWidth="1"/>
  </cols>
  <sheetData>
    <row r="2" spans="2:19">
      <c r="B2" t="s">
        <v>308</v>
      </c>
    </row>
    <row r="4" spans="2:19">
      <c r="B4">
        <f>SUM(B5:B1048576)</f>
        <v>27.5</v>
      </c>
      <c r="C4" s="4" t="s">
        <v>134</v>
      </c>
    </row>
    <row r="5" spans="2:19">
      <c r="B5">
        <v>0</v>
      </c>
      <c r="C5" s="4"/>
      <c r="D5" s="1" t="s">
        <v>135</v>
      </c>
      <c r="E5" s="31" t="s">
        <v>136</v>
      </c>
      <c r="F5" s="31"/>
      <c r="G5" s="1"/>
      <c r="H5" s="1"/>
      <c r="S5" t="s">
        <v>301</v>
      </c>
    </row>
    <row r="6" spans="2:19">
      <c r="C6" s="4"/>
      <c r="D6" s="1"/>
      <c r="E6" s="31"/>
      <c r="F6" s="31"/>
      <c r="G6" s="1"/>
      <c r="H6" s="1"/>
    </row>
    <row r="7" spans="2:19">
      <c r="C7" s="4"/>
      <c r="D7" s="1"/>
      <c r="E7" s="31"/>
      <c r="F7" s="1" t="s">
        <v>28</v>
      </c>
      <c r="G7" s="1"/>
      <c r="H7" s="1"/>
    </row>
    <row r="8" spans="2:19">
      <c r="C8" s="4"/>
      <c r="D8" s="1"/>
      <c r="E8" s="31"/>
      <c r="F8" s="1" t="s">
        <v>32</v>
      </c>
      <c r="G8" s="1"/>
      <c r="H8" s="1"/>
    </row>
    <row r="9" spans="2:19">
      <c r="C9" s="4"/>
      <c r="D9" s="1"/>
      <c r="E9" s="31"/>
      <c r="F9" s="1"/>
      <c r="G9" s="1" t="s">
        <v>29</v>
      </c>
      <c r="H9" s="1" t="s">
        <v>30</v>
      </c>
    </row>
    <row r="10" spans="2:19">
      <c r="C10" s="4"/>
      <c r="D10" s="1"/>
      <c r="E10" s="31"/>
      <c r="F10" s="1"/>
      <c r="G10" s="1"/>
      <c r="H10" s="1" t="s">
        <v>31</v>
      </c>
    </row>
    <row r="11" spans="2:19">
      <c r="C11" s="4"/>
      <c r="D11" s="1"/>
      <c r="E11" s="31"/>
      <c r="F11" s="1"/>
      <c r="G11" s="1"/>
      <c r="H11" s="1"/>
    </row>
    <row r="12" spans="2:19">
      <c r="C12" s="4"/>
      <c r="D12" t="s">
        <v>137</v>
      </c>
      <c r="E12" t="s">
        <v>316</v>
      </c>
    </row>
    <row r="13" spans="2:19">
      <c r="C13" s="4"/>
      <c r="F13" t="s">
        <v>324</v>
      </c>
    </row>
    <row r="14" spans="2:19">
      <c r="B14">
        <v>4</v>
      </c>
      <c r="C14" s="4"/>
      <c r="G14" t="s">
        <v>320</v>
      </c>
    </row>
    <row r="15" spans="2:19">
      <c r="C15" s="4"/>
      <c r="H15" s="2" t="s">
        <v>318</v>
      </c>
    </row>
    <row r="16" spans="2:19">
      <c r="C16" s="4"/>
      <c r="H16" s="2" t="s">
        <v>329</v>
      </c>
    </row>
    <row r="17" spans="2:48">
      <c r="C17" s="4"/>
      <c r="H17" s="2" t="s">
        <v>358</v>
      </c>
    </row>
    <row r="18" spans="2:48">
      <c r="C18" s="4"/>
      <c r="H18" t="s">
        <v>322</v>
      </c>
      <c r="O18" t="s">
        <v>410</v>
      </c>
      <c r="P18" t="s">
        <v>319</v>
      </c>
    </row>
    <row r="19" spans="2:48">
      <c r="C19" s="4"/>
    </row>
    <row r="20" spans="2:48">
      <c r="B20">
        <v>4</v>
      </c>
      <c r="C20" s="4"/>
      <c r="G20" t="s">
        <v>323</v>
      </c>
    </row>
    <row r="21" spans="2:48">
      <c r="C21" s="4"/>
      <c r="G21" t="s">
        <v>317</v>
      </c>
    </row>
    <row r="22" spans="2:48">
      <c r="C22" s="4"/>
    </row>
    <row r="23" spans="2:48">
      <c r="C23" s="4"/>
      <c r="G23" t="s">
        <v>331</v>
      </c>
    </row>
    <row r="24" spans="2:48">
      <c r="C24" s="4"/>
    </row>
    <row r="25" spans="2:48">
      <c r="B25">
        <v>3</v>
      </c>
      <c r="C25" s="4"/>
      <c r="G25" t="s">
        <v>337</v>
      </c>
    </row>
    <row r="26" spans="2:48">
      <c r="C26" s="4"/>
    </row>
    <row r="27" spans="2:48">
      <c r="C27" s="4"/>
      <c r="H27" t="s">
        <v>351</v>
      </c>
    </row>
    <row r="28" spans="2:48">
      <c r="C28" s="4"/>
      <c r="H28" t="s">
        <v>352</v>
      </c>
    </row>
    <row r="29" spans="2:48">
      <c r="C29" s="4"/>
      <c r="Q29" t="s">
        <v>344</v>
      </c>
      <c r="AI29" t="s">
        <v>345</v>
      </c>
    </row>
    <row r="30" spans="2:48">
      <c r="C30" s="4"/>
      <c r="H30" t="s">
        <v>338</v>
      </c>
      <c r="K30" t="s">
        <v>339</v>
      </c>
      <c r="N30" t="s">
        <v>340</v>
      </c>
      <c r="Q30" t="s">
        <v>312</v>
      </c>
      <c r="T30" t="s">
        <v>309</v>
      </c>
      <c r="W30" t="s">
        <v>310</v>
      </c>
      <c r="Z30" t="s">
        <v>343</v>
      </c>
      <c r="AD30" t="s">
        <v>311</v>
      </c>
      <c r="AG30" t="s">
        <v>346</v>
      </c>
      <c r="AI30" t="s">
        <v>312</v>
      </c>
      <c r="AL30" t="s">
        <v>309</v>
      </c>
      <c r="AO30" t="s">
        <v>310</v>
      </c>
      <c r="AR30" t="s">
        <v>343</v>
      </c>
      <c r="AV30" t="s">
        <v>311</v>
      </c>
    </row>
    <row r="31" spans="2:48">
      <c r="C31" s="4"/>
      <c r="N31" t="s">
        <v>341</v>
      </c>
    </row>
    <row r="32" spans="2:48">
      <c r="C32" s="4"/>
      <c r="N32" t="s">
        <v>342</v>
      </c>
    </row>
    <row r="33" spans="2:14">
      <c r="C33" s="4"/>
      <c r="N33" t="s">
        <v>335</v>
      </c>
    </row>
    <row r="34" spans="2:14">
      <c r="C34" s="4"/>
    </row>
    <row r="35" spans="2:14">
      <c r="C35" s="4"/>
      <c r="F35" t="s">
        <v>302</v>
      </c>
    </row>
    <row r="36" spans="2:14">
      <c r="C36" s="4"/>
      <c r="G36" t="s">
        <v>305</v>
      </c>
      <c r="L36" t="s">
        <v>330</v>
      </c>
    </row>
    <row r="37" spans="2:14">
      <c r="C37" s="4"/>
      <c r="G37" t="s">
        <v>303</v>
      </c>
    </row>
    <row r="38" spans="2:14">
      <c r="C38" s="4"/>
      <c r="G38" t="s">
        <v>304</v>
      </c>
    </row>
    <row r="39" spans="2:14">
      <c r="C39" s="4"/>
      <c r="G39" t="s">
        <v>313</v>
      </c>
    </row>
    <row r="40" spans="2:14">
      <c r="C40" s="4"/>
      <c r="H40" t="s">
        <v>312</v>
      </c>
    </row>
    <row r="41" spans="2:14">
      <c r="C41" s="4"/>
      <c r="H41" t="s">
        <v>309</v>
      </c>
    </row>
    <row r="42" spans="2:14">
      <c r="C42" s="4"/>
      <c r="H42" t="s">
        <v>310</v>
      </c>
      <c r="K42" t="s">
        <v>314</v>
      </c>
    </row>
    <row r="43" spans="2:14">
      <c r="C43" s="4"/>
      <c r="H43" t="s">
        <v>315</v>
      </c>
    </row>
    <row r="44" spans="2:14">
      <c r="C44" s="4"/>
    </row>
    <row r="45" spans="2:14">
      <c r="C45" s="4"/>
      <c r="D45" t="s">
        <v>295</v>
      </c>
      <c r="E45" t="s">
        <v>297</v>
      </c>
    </row>
    <row r="46" spans="2:14">
      <c r="C46" s="4"/>
      <c r="F46" t="s">
        <v>324</v>
      </c>
    </row>
    <row r="47" spans="2:14">
      <c r="B47">
        <v>4</v>
      </c>
      <c r="C47" s="4"/>
      <c r="G47" t="s">
        <v>326</v>
      </c>
    </row>
    <row r="48" spans="2:14">
      <c r="C48" s="4"/>
      <c r="H48" s="2" t="s">
        <v>318</v>
      </c>
    </row>
    <row r="49" spans="2:44">
      <c r="C49" s="4"/>
      <c r="H49" s="2" t="s">
        <v>328</v>
      </c>
    </row>
    <row r="50" spans="2:44">
      <c r="B50">
        <v>4</v>
      </c>
      <c r="C50" s="4"/>
      <c r="G50" t="s">
        <v>327</v>
      </c>
    </row>
    <row r="51" spans="2:44">
      <c r="C51" s="4"/>
    </row>
    <row r="52" spans="2:44">
      <c r="C52" s="4"/>
      <c r="H52" s="2" t="s">
        <v>332</v>
      </c>
    </row>
    <row r="53" spans="2:44">
      <c r="C53" s="4"/>
      <c r="H53" s="2"/>
      <c r="I53" t="s">
        <v>347</v>
      </c>
    </row>
    <row r="54" spans="2:44">
      <c r="C54" s="4"/>
      <c r="H54" s="2"/>
      <c r="J54" t="s">
        <v>333</v>
      </c>
      <c r="R54" t="s">
        <v>321</v>
      </c>
      <c r="S54" t="s">
        <v>334</v>
      </c>
    </row>
    <row r="55" spans="2:44">
      <c r="C55" s="4"/>
      <c r="J55" t="s">
        <v>335</v>
      </c>
      <c r="R55" t="s">
        <v>321</v>
      </c>
      <c r="S55" t="s">
        <v>336</v>
      </c>
    </row>
    <row r="56" spans="2:44" s="4" customFormat="1"/>
    <row r="57" spans="2:44">
      <c r="C57" s="4"/>
      <c r="G57" t="s">
        <v>331</v>
      </c>
    </row>
    <row r="58" spans="2:44">
      <c r="C58" s="4"/>
    </row>
    <row r="59" spans="2:44">
      <c r="B59">
        <v>3</v>
      </c>
      <c r="C59" s="4"/>
      <c r="G59" t="s">
        <v>337</v>
      </c>
    </row>
    <row r="60" spans="2:44">
      <c r="C60" s="4"/>
    </row>
    <row r="61" spans="2:44">
      <c r="C61" s="4"/>
      <c r="H61" t="s">
        <v>351</v>
      </c>
    </row>
    <row r="62" spans="2:44">
      <c r="C62" s="4"/>
      <c r="H62" t="s">
        <v>352</v>
      </c>
    </row>
    <row r="63" spans="2:44">
      <c r="C63" s="4"/>
    </row>
    <row r="64" spans="2:44">
      <c r="Q64" t="s">
        <v>344</v>
      </c>
      <c r="AD64" t="s">
        <v>355</v>
      </c>
      <c r="AI64" t="s">
        <v>345</v>
      </c>
      <c r="AR64" t="s">
        <v>355</v>
      </c>
    </row>
    <row r="65" spans="2:48">
      <c r="C65" s="4"/>
      <c r="H65" t="s">
        <v>338</v>
      </c>
      <c r="K65" t="s">
        <v>339</v>
      </c>
      <c r="N65" t="s">
        <v>340</v>
      </c>
      <c r="Q65" t="s">
        <v>312</v>
      </c>
      <c r="T65" t="s">
        <v>309</v>
      </c>
      <c r="W65" t="s">
        <v>310</v>
      </c>
      <c r="Z65" t="s">
        <v>348</v>
      </c>
      <c r="AD65" t="s">
        <v>356</v>
      </c>
      <c r="AE65" t="s">
        <v>357</v>
      </c>
      <c r="AG65" t="s">
        <v>346</v>
      </c>
      <c r="AI65" t="s">
        <v>312</v>
      </c>
      <c r="AL65" t="s">
        <v>309</v>
      </c>
      <c r="AO65" t="s">
        <v>310</v>
      </c>
      <c r="AR65" t="s">
        <v>356</v>
      </c>
      <c r="AS65" t="s">
        <v>357</v>
      </c>
      <c r="AV65" t="s">
        <v>311</v>
      </c>
    </row>
    <row r="66" spans="2:48">
      <c r="C66" s="4"/>
      <c r="N66" t="s">
        <v>341</v>
      </c>
    </row>
    <row r="67" spans="2:48">
      <c r="C67" s="4"/>
      <c r="N67" t="s">
        <v>342</v>
      </c>
    </row>
    <row r="68" spans="2:48">
      <c r="C68" s="4"/>
      <c r="N68" t="s">
        <v>335</v>
      </c>
    </row>
    <row r="69" spans="2:48">
      <c r="C69" s="4"/>
    </row>
    <row r="70" spans="2:48">
      <c r="C70" s="4"/>
      <c r="F70" t="s">
        <v>302</v>
      </c>
    </row>
    <row r="71" spans="2:48">
      <c r="C71" s="4"/>
      <c r="G71" t="s">
        <v>305</v>
      </c>
      <c r="L71" t="s">
        <v>306</v>
      </c>
    </row>
    <row r="72" spans="2:48">
      <c r="C72" s="4"/>
      <c r="G72" t="s">
        <v>303</v>
      </c>
    </row>
    <row r="73" spans="2:48">
      <c r="C73" s="4"/>
      <c r="G73" t="s">
        <v>304</v>
      </c>
    </row>
    <row r="74" spans="2:48">
      <c r="C74" s="4"/>
      <c r="G74" t="s">
        <v>313</v>
      </c>
    </row>
    <row r="75" spans="2:48">
      <c r="C75" s="4"/>
      <c r="H75" t="s">
        <v>312</v>
      </c>
    </row>
    <row r="76" spans="2:48">
      <c r="C76" s="4"/>
      <c r="H76" t="s">
        <v>309</v>
      </c>
    </row>
    <row r="77" spans="2:48">
      <c r="C77" s="4"/>
      <c r="H77" t="s">
        <v>310</v>
      </c>
      <c r="K77" t="s">
        <v>314</v>
      </c>
    </row>
    <row r="78" spans="2:48">
      <c r="C78" s="4"/>
      <c r="H78" t="s">
        <v>315</v>
      </c>
    </row>
    <row r="79" spans="2:48">
      <c r="C79" s="4"/>
    </row>
    <row r="80" spans="2:48">
      <c r="B80" t="s">
        <v>307</v>
      </c>
      <c r="C80" s="4"/>
      <c r="D80" t="s">
        <v>296</v>
      </c>
      <c r="E80" t="s">
        <v>294</v>
      </c>
    </row>
    <row r="81" spans="3:29">
      <c r="C81" s="4"/>
      <c r="F81" t="s">
        <v>298</v>
      </c>
    </row>
    <row r="82" spans="3:29">
      <c r="C82" s="4"/>
      <c r="G82" t="s">
        <v>325</v>
      </c>
    </row>
    <row r="83" spans="3:29">
      <c r="C83" s="7"/>
      <c r="E83" s="4"/>
    </row>
    <row r="84" spans="3:29">
      <c r="F84" t="s">
        <v>397</v>
      </c>
      <c r="G84" t="s">
        <v>279</v>
      </c>
    </row>
    <row r="85" spans="3:29">
      <c r="G85" t="s">
        <v>207</v>
      </c>
      <c r="W85" t="s">
        <v>207</v>
      </c>
    </row>
    <row r="86" spans="3:29">
      <c r="H86" t="s">
        <v>196</v>
      </c>
      <c r="X86" t="s">
        <v>196</v>
      </c>
    </row>
    <row r="87" spans="3:29">
      <c r="I87" t="s">
        <v>195</v>
      </c>
      <c r="Y87" t="s">
        <v>195</v>
      </c>
    </row>
    <row r="88" spans="3:29">
      <c r="J88" t="s">
        <v>194</v>
      </c>
      <c r="Z88" s="1" t="s">
        <v>197</v>
      </c>
    </row>
    <row r="89" spans="3:29">
      <c r="K89" t="s">
        <v>193</v>
      </c>
      <c r="V89" t="s">
        <v>280</v>
      </c>
      <c r="AA89" t="s">
        <v>281</v>
      </c>
    </row>
    <row r="90" spans="3:29">
      <c r="L90" t="s">
        <v>187</v>
      </c>
      <c r="V90" t="s">
        <v>280</v>
      </c>
      <c r="AA90" t="s">
        <v>188</v>
      </c>
    </row>
    <row r="91" spans="3:29">
      <c r="L91" t="s">
        <v>188</v>
      </c>
      <c r="V91" t="s">
        <v>280</v>
      </c>
      <c r="AA91" t="s">
        <v>190</v>
      </c>
    </row>
    <row r="92" spans="3:29">
      <c r="L92" t="s">
        <v>190</v>
      </c>
      <c r="AB92" t="s">
        <v>191</v>
      </c>
    </row>
    <row r="93" spans="3:29">
      <c r="M93" t="s">
        <v>191</v>
      </c>
      <c r="AC93" t="s">
        <v>192</v>
      </c>
    </row>
    <row r="94" spans="3:29">
      <c r="N94" t="s">
        <v>192</v>
      </c>
    </row>
    <row r="95" spans="3:29">
      <c r="V95" t="s">
        <v>282</v>
      </c>
    </row>
    <row r="96" spans="3:29">
      <c r="V96" t="s">
        <v>283</v>
      </c>
    </row>
    <row r="97" spans="2:22">
      <c r="V97" t="s">
        <v>284</v>
      </c>
    </row>
    <row r="99" spans="2:22">
      <c r="B99">
        <v>1</v>
      </c>
      <c r="F99" t="s">
        <v>397</v>
      </c>
      <c r="G99" t="s">
        <v>274</v>
      </c>
    </row>
    <row r="100" spans="2:22">
      <c r="G100" s="91" t="s">
        <v>275</v>
      </c>
      <c r="H100" s="92"/>
    </row>
    <row r="101" spans="2:22">
      <c r="G101" s="92"/>
      <c r="H101" s="92" t="s">
        <v>293</v>
      </c>
    </row>
    <row r="104" spans="2:22">
      <c r="B104">
        <v>0.5</v>
      </c>
      <c r="F104" t="s">
        <v>397</v>
      </c>
      <c r="G104" t="s">
        <v>289</v>
      </c>
    </row>
    <row r="105" spans="2:22">
      <c r="G105" t="s">
        <v>292</v>
      </c>
    </row>
    <row r="106" spans="2:22">
      <c r="H106" t="s">
        <v>287</v>
      </c>
      <c r="Q106" t="s">
        <v>288</v>
      </c>
    </row>
    <row r="107" spans="2:22">
      <c r="H107" t="s">
        <v>290</v>
      </c>
    </row>
    <row r="108" spans="2:22">
      <c r="I108" t="s">
        <v>291</v>
      </c>
    </row>
    <row r="109" spans="2:22">
      <c r="B109">
        <v>2</v>
      </c>
      <c r="F109" t="s">
        <v>273</v>
      </c>
      <c r="G109" t="s">
        <v>285</v>
      </c>
    </row>
    <row r="110" spans="2:22">
      <c r="G110" t="s">
        <v>286</v>
      </c>
    </row>
    <row r="112" spans="2:22">
      <c r="F112" t="s">
        <v>278</v>
      </c>
      <c r="G112" t="s">
        <v>299</v>
      </c>
    </row>
    <row r="113" spans="2:7">
      <c r="G113" t="s">
        <v>300</v>
      </c>
    </row>
    <row r="115" spans="2:7">
      <c r="B115">
        <v>2</v>
      </c>
      <c r="F115" t="s">
        <v>349</v>
      </c>
      <c r="G115" t="s">
        <v>350</v>
      </c>
    </row>
    <row r="117" spans="2:7">
      <c r="F117" t="s">
        <v>398</v>
      </c>
      <c r="G117" t="s">
        <v>399</v>
      </c>
    </row>
    <row r="119" spans="2:7">
      <c r="F119" t="s">
        <v>415</v>
      </c>
      <c r="G119" t="s">
        <v>416</v>
      </c>
    </row>
    <row r="120" spans="2:7">
      <c r="F120" t="s">
        <v>415</v>
      </c>
      <c r="G120" t="s">
        <v>417</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概要</vt:lpstr>
      <vt:lpstr>★本ツールを実行する前に★</vt:lpstr>
      <vt:lpstr>チェック内容詳細</vt:lpstr>
      <vt:lpstr>(A)</vt:lpstr>
      <vt:lpstr>(B)</vt:lpstr>
      <vt:lpstr>(C)</vt:lpstr>
      <vt:lpstr>Summary</vt:lpstr>
      <vt:lpstr>Result(UT)</vt:lpstr>
      <vt:lpstr>Result(CT,FT,ST)</vt:lpstr>
      <vt:lpstr>データ入力</vt:lpstr>
      <vt:lpstr>リリースノート</vt:lpstr>
      <vt:lpstr>デバッグ用シート</vt:lpstr>
      <vt:lpstr>モジュール構成</vt:lpstr>
      <vt:lpstr>データ構造</vt:lpstr>
      <vt:lpstr>追加機能検討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Tatsuya Endo</cp:lastModifiedBy>
  <dcterms:created xsi:type="dcterms:W3CDTF">2006-09-16T00:00:00Z</dcterms:created>
  <dcterms:modified xsi:type="dcterms:W3CDTF">2022-07-27T13:30:01Z</dcterms:modified>
</cp:coreProperties>
</file>