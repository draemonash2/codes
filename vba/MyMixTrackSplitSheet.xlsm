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8" windowWidth="14808" windowHeight="8016"/>
  </bookViews>
  <sheets>
    <sheet name="手入力" sheetId="1" r:id="rId1"/>
    <sheet name="SeratoHistory入力 " sheetId="7" r:id="rId2"/>
    <sheet name="【分割】MixCloud" sheetId="5" r:id="rId3"/>
    <sheet name="【分割】SuperTagEditer" sheetId="6" r:id="rId4"/>
    <sheet name="その他作業用" sheetId="3" r:id="rId5"/>
  </sheets>
  <functionGroups builtInGroupCount="17"/>
  <externalReferences>
    <externalReference r:id="rId6"/>
  </externalReferences>
  <definedNames>
    <definedName name="_xlnm._FilterDatabase" localSheetId="2" hidden="1">【分割】MixCloud!$A$1:$A$1</definedName>
    <definedName name="_xlnm._FilterDatabase" localSheetId="0" hidden="1">手入力!$A$2:$R$2</definedName>
  </definedNames>
  <calcPr calcId="145621"/>
  <fileRecoveryPr repairLoad="1"/>
</workbook>
</file>

<file path=xl/calcChain.xml><?xml version="1.0" encoding="utf-8"?>
<calcChain xmlns="http://schemas.openxmlformats.org/spreadsheetml/2006/main">
  <c r="P2" i="1" l="1"/>
  <c r="Q200" i="1"/>
  <c r="P200" i="1"/>
  <c r="Q199" i="1"/>
  <c r="P199" i="1"/>
  <c r="Q198" i="1"/>
  <c r="P198" i="1"/>
  <c r="Q197" i="1"/>
  <c r="P197" i="1"/>
  <c r="Q196" i="1"/>
  <c r="P196" i="1"/>
  <c r="Q195" i="1"/>
  <c r="P195" i="1"/>
  <c r="Q194" i="1"/>
  <c r="P194" i="1"/>
  <c r="Q193" i="1"/>
  <c r="P193" i="1"/>
  <c r="Q192" i="1"/>
  <c r="P192" i="1"/>
  <c r="Q191" i="1"/>
  <c r="P191" i="1"/>
  <c r="Q190" i="1"/>
  <c r="P190" i="1"/>
  <c r="Q189" i="1"/>
  <c r="P189" i="1"/>
  <c r="Q188" i="1"/>
  <c r="P188" i="1"/>
  <c r="Q187" i="1"/>
  <c r="P187" i="1"/>
  <c r="Q186" i="1"/>
  <c r="P186" i="1"/>
  <c r="Q185" i="1"/>
  <c r="P185" i="1"/>
  <c r="Q184" i="1"/>
  <c r="P184" i="1"/>
  <c r="Q183" i="1"/>
  <c r="P183" i="1"/>
  <c r="Q182" i="1"/>
  <c r="P182" i="1"/>
  <c r="Q181" i="1"/>
  <c r="P181" i="1"/>
  <c r="Q180" i="1"/>
  <c r="P180" i="1"/>
  <c r="Q179" i="1"/>
  <c r="P179" i="1"/>
  <c r="Q178" i="1"/>
  <c r="P178" i="1"/>
  <c r="Q177" i="1"/>
  <c r="P177" i="1"/>
  <c r="Q176" i="1"/>
  <c r="P176" i="1"/>
  <c r="Q175" i="1"/>
  <c r="P175" i="1"/>
  <c r="Q174" i="1"/>
  <c r="P174" i="1"/>
  <c r="Q173" i="1"/>
  <c r="P173" i="1"/>
  <c r="Q172" i="1"/>
  <c r="P172" i="1"/>
  <c r="Q171" i="1"/>
  <c r="P171" i="1"/>
  <c r="Q170" i="1"/>
  <c r="P170" i="1"/>
  <c r="Q169" i="1"/>
  <c r="P169" i="1"/>
  <c r="Q168" i="1"/>
  <c r="P168" i="1"/>
  <c r="Q167" i="1"/>
  <c r="P167" i="1"/>
  <c r="Q166" i="1"/>
  <c r="P166" i="1"/>
  <c r="Q165" i="1"/>
  <c r="P165" i="1"/>
  <c r="Q164" i="1"/>
  <c r="P164" i="1"/>
  <c r="Q163" i="1"/>
  <c r="P163" i="1"/>
  <c r="Q162" i="1"/>
  <c r="P162" i="1"/>
  <c r="Q161" i="1"/>
  <c r="P161" i="1"/>
  <c r="Q160" i="1"/>
  <c r="P160" i="1"/>
  <c r="Q159" i="1"/>
  <c r="P159" i="1"/>
  <c r="Q158" i="1"/>
  <c r="P158" i="1"/>
  <c r="Q157" i="1"/>
  <c r="P157" i="1"/>
  <c r="Q156" i="1"/>
  <c r="P156" i="1"/>
  <c r="Q155" i="1"/>
  <c r="P155" i="1"/>
  <c r="Q154" i="1"/>
  <c r="P154" i="1"/>
  <c r="Q153" i="1"/>
  <c r="P153" i="1"/>
  <c r="Q152" i="1"/>
  <c r="P152" i="1"/>
  <c r="Q151" i="1"/>
  <c r="P151" i="1"/>
  <c r="Q150" i="1"/>
  <c r="P150" i="1"/>
  <c r="Q149" i="1"/>
  <c r="P149" i="1"/>
  <c r="Q148" i="1"/>
  <c r="P148" i="1"/>
  <c r="Q147" i="1"/>
  <c r="P147" i="1"/>
  <c r="Q146" i="1"/>
  <c r="P146" i="1"/>
  <c r="Q145" i="1"/>
  <c r="P145" i="1"/>
  <c r="Q144" i="1"/>
  <c r="P144" i="1"/>
  <c r="Q143" i="1"/>
  <c r="P143" i="1"/>
  <c r="Q142" i="1"/>
  <c r="P142" i="1"/>
  <c r="Q141" i="1"/>
  <c r="P141" i="1"/>
  <c r="Q140" i="1"/>
  <c r="P140" i="1"/>
  <c r="Q139" i="1"/>
  <c r="P139" i="1"/>
  <c r="Q138" i="1"/>
  <c r="P138" i="1"/>
  <c r="Q137" i="1"/>
  <c r="P137" i="1"/>
  <c r="Q136" i="1"/>
  <c r="P136" i="1"/>
  <c r="Q135" i="1"/>
  <c r="P135" i="1"/>
  <c r="Q134" i="1"/>
  <c r="P134" i="1"/>
  <c r="Q133" i="1"/>
  <c r="P133" i="1"/>
  <c r="Q132" i="1"/>
  <c r="P132" i="1"/>
  <c r="Q131" i="1"/>
  <c r="P131" i="1"/>
  <c r="Q130" i="1"/>
  <c r="P130" i="1"/>
  <c r="Q129" i="1"/>
  <c r="P129" i="1"/>
  <c r="Q128" i="1"/>
  <c r="P128" i="1"/>
  <c r="Q127" i="1"/>
  <c r="P127" i="1"/>
  <c r="Q126" i="1"/>
  <c r="P126" i="1"/>
  <c r="Q125" i="1"/>
  <c r="P125" i="1"/>
  <c r="Q124" i="1"/>
  <c r="P124" i="1"/>
  <c r="Q123" i="1"/>
  <c r="P123" i="1"/>
  <c r="Q122" i="1"/>
  <c r="P122" i="1"/>
  <c r="Q121" i="1"/>
  <c r="P121" i="1"/>
  <c r="Q120" i="1"/>
  <c r="P120" i="1"/>
  <c r="Q119" i="1"/>
  <c r="P119" i="1"/>
  <c r="Q118" i="1"/>
  <c r="P118" i="1"/>
  <c r="Q117" i="1"/>
  <c r="P117" i="1"/>
  <c r="Q116" i="1"/>
  <c r="P116" i="1"/>
  <c r="Q115" i="1"/>
  <c r="P115" i="1"/>
  <c r="Q114" i="1"/>
  <c r="P114" i="1"/>
  <c r="Q113" i="1"/>
  <c r="P113" i="1"/>
  <c r="Q112" i="1"/>
  <c r="P112" i="1"/>
  <c r="Q111" i="1"/>
  <c r="P111" i="1"/>
  <c r="Q110" i="1"/>
  <c r="P110" i="1"/>
  <c r="Q109" i="1"/>
  <c r="P109" i="1"/>
  <c r="Q108" i="1"/>
  <c r="P108" i="1"/>
  <c r="Q107" i="1"/>
  <c r="P107" i="1"/>
  <c r="Q106" i="1"/>
  <c r="P106" i="1"/>
  <c r="Q105" i="1"/>
  <c r="P105" i="1"/>
  <c r="Q104" i="1"/>
  <c r="P104" i="1"/>
  <c r="Q103" i="1"/>
  <c r="P103" i="1"/>
  <c r="Q102" i="1"/>
  <c r="P102" i="1"/>
  <c r="Q101" i="1"/>
  <c r="P101" i="1"/>
  <c r="Q100" i="1"/>
  <c r="P100" i="1"/>
  <c r="Q99" i="1"/>
  <c r="P99" i="1"/>
  <c r="Q98" i="1"/>
  <c r="P98" i="1"/>
  <c r="Q97" i="1"/>
  <c r="P97" i="1"/>
  <c r="Q96" i="1"/>
  <c r="P96" i="1"/>
  <c r="Q95" i="1"/>
  <c r="P95" i="1"/>
  <c r="Q94" i="1"/>
  <c r="P94" i="1"/>
  <c r="Q93" i="1"/>
  <c r="P93" i="1"/>
  <c r="Q92" i="1"/>
  <c r="P92" i="1"/>
  <c r="Q91" i="1"/>
  <c r="P91" i="1"/>
  <c r="Q90" i="1"/>
  <c r="P90" i="1"/>
  <c r="Q89" i="1"/>
  <c r="P89" i="1"/>
  <c r="Q88" i="1"/>
  <c r="P88" i="1"/>
  <c r="Q87" i="1"/>
  <c r="P87" i="1"/>
  <c r="Q86" i="1"/>
  <c r="P86" i="1"/>
  <c r="Q85" i="1"/>
  <c r="P85" i="1"/>
  <c r="Q84" i="1"/>
  <c r="P84" i="1"/>
  <c r="Q83" i="1"/>
  <c r="P83" i="1"/>
  <c r="Q82" i="1"/>
  <c r="P82" i="1"/>
  <c r="Q81" i="1"/>
  <c r="P81" i="1"/>
  <c r="Q80" i="1"/>
  <c r="P80" i="1"/>
  <c r="Q79" i="1"/>
  <c r="P79" i="1"/>
  <c r="Q78" i="1"/>
  <c r="P78" i="1"/>
  <c r="Q77" i="1"/>
  <c r="P77" i="1"/>
  <c r="Q76" i="1"/>
  <c r="P76" i="1"/>
  <c r="Q75" i="1"/>
  <c r="P75" i="1"/>
  <c r="Q74" i="1"/>
  <c r="P74" i="1"/>
  <c r="Q73" i="1"/>
  <c r="P73" i="1"/>
  <c r="Q72" i="1"/>
  <c r="P72" i="1"/>
  <c r="Q71" i="1"/>
  <c r="P71" i="1"/>
  <c r="Q70" i="1"/>
  <c r="P70" i="1"/>
  <c r="Q69" i="1"/>
  <c r="P69" i="1"/>
  <c r="Q68" i="1"/>
  <c r="P68" i="1"/>
  <c r="Q67" i="1"/>
  <c r="P67" i="1"/>
  <c r="Q66" i="1"/>
  <c r="P66" i="1"/>
  <c r="Q65" i="1"/>
  <c r="P65" i="1"/>
  <c r="Q64" i="1"/>
  <c r="P64" i="1"/>
  <c r="Q63" i="1"/>
  <c r="P63" i="1"/>
  <c r="Q62" i="1"/>
  <c r="P62" i="1"/>
  <c r="Q61" i="1"/>
  <c r="P61" i="1"/>
  <c r="Q60" i="1"/>
  <c r="P60" i="1"/>
  <c r="Q59" i="1"/>
  <c r="P59" i="1"/>
  <c r="Q58" i="1"/>
  <c r="P58" i="1"/>
  <c r="Q57" i="1"/>
  <c r="P57" i="1"/>
  <c r="Q56" i="1"/>
  <c r="P56" i="1"/>
  <c r="Q55" i="1"/>
  <c r="P55" i="1"/>
  <c r="Q54" i="1"/>
  <c r="P54" i="1"/>
  <c r="Q53" i="1"/>
  <c r="P53" i="1"/>
  <c r="Q52" i="1"/>
  <c r="P52" i="1"/>
  <c r="Q51" i="1"/>
  <c r="P51" i="1"/>
  <c r="Q50" i="1"/>
  <c r="P50" i="1"/>
  <c r="Q49" i="1"/>
  <c r="P49" i="1"/>
  <c r="Q48" i="1"/>
  <c r="P48" i="1"/>
  <c r="Q47" i="1"/>
  <c r="P47" i="1"/>
  <c r="Q46" i="1"/>
  <c r="P46" i="1"/>
  <c r="Q45" i="1"/>
  <c r="P45" i="1"/>
  <c r="Q44" i="1"/>
  <c r="P44" i="1"/>
  <c r="Q43" i="1"/>
  <c r="P43" i="1"/>
  <c r="Q42" i="1"/>
  <c r="P42" i="1"/>
  <c r="Q41" i="1"/>
  <c r="P41" i="1"/>
  <c r="Q40" i="1"/>
  <c r="P40" i="1"/>
  <c r="Q39" i="1"/>
  <c r="P39" i="1"/>
  <c r="Q38" i="1"/>
  <c r="P38" i="1"/>
  <c r="Q37" i="1"/>
  <c r="P37" i="1"/>
  <c r="Q36" i="1"/>
  <c r="P36" i="1"/>
  <c r="Q35" i="1"/>
  <c r="P35" i="1"/>
  <c r="Q34" i="1"/>
  <c r="P34" i="1"/>
  <c r="Q33" i="1"/>
  <c r="P33" i="1"/>
  <c r="Q32" i="1"/>
  <c r="P32" i="1"/>
  <c r="Q31" i="1"/>
  <c r="P31" i="1"/>
  <c r="Q30" i="1"/>
  <c r="P30" i="1"/>
  <c r="Q29" i="1"/>
  <c r="P29" i="1"/>
  <c r="Q28" i="1"/>
  <c r="P28" i="1"/>
  <c r="Q27" i="1"/>
  <c r="P27" i="1"/>
  <c r="Q26" i="1"/>
  <c r="P26" i="1"/>
  <c r="Q25" i="1"/>
  <c r="P25" i="1"/>
  <c r="Q24" i="1"/>
  <c r="P24" i="1"/>
  <c r="Q23" i="1"/>
  <c r="P23" i="1"/>
  <c r="Q22" i="1"/>
  <c r="P22" i="1"/>
  <c r="Q21" i="1"/>
  <c r="P21" i="1"/>
  <c r="Q20" i="1"/>
  <c r="P20" i="1"/>
  <c r="Q19" i="1"/>
  <c r="P19" i="1"/>
  <c r="Q18" i="1"/>
  <c r="P18" i="1"/>
  <c r="Q17" i="1"/>
  <c r="P17" i="1"/>
  <c r="Q16" i="1"/>
  <c r="P16" i="1"/>
  <c r="Q15" i="1"/>
  <c r="P15" i="1"/>
  <c r="Q14" i="1"/>
  <c r="P14" i="1"/>
  <c r="Q13" i="1"/>
  <c r="P13" i="1"/>
  <c r="Q12" i="1"/>
  <c r="P12" i="1"/>
  <c r="Q11" i="1"/>
  <c r="P11" i="1"/>
  <c r="Q10" i="1"/>
  <c r="P10" i="1"/>
  <c r="Q9" i="1"/>
  <c r="P9" i="1"/>
  <c r="Q8" i="1"/>
  <c r="P8" i="1"/>
  <c r="Q7" i="1"/>
  <c r="P7" i="1"/>
  <c r="Q6" i="1"/>
  <c r="P6" i="1"/>
  <c r="Q5" i="1"/>
  <c r="P5" i="1"/>
  <c r="Q4" i="1"/>
  <c r="P4" i="1"/>
  <c r="Q3" i="1"/>
  <c r="P3" i="1"/>
  <c r="M199" i="7"/>
  <c r="L199" i="7"/>
  <c r="K199" i="7"/>
  <c r="J199" i="7"/>
  <c r="I199" i="7"/>
  <c r="H199" i="7"/>
  <c r="G199" i="7"/>
  <c r="F199" i="7"/>
  <c r="E199" i="7"/>
  <c r="D199" i="7"/>
  <c r="C199" i="7"/>
  <c r="M198" i="7"/>
  <c r="L198" i="7"/>
  <c r="K198" i="7"/>
  <c r="J198" i="7"/>
  <c r="I198" i="7"/>
  <c r="H198" i="7"/>
  <c r="G198" i="7"/>
  <c r="F198" i="7"/>
  <c r="E198" i="7"/>
  <c r="D198" i="7"/>
  <c r="C198" i="7"/>
  <c r="M197" i="7"/>
  <c r="L197" i="7"/>
  <c r="K197" i="7"/>
  <c r="J197" i="7"/>
  <c r="I197" i="7"/>
  <c r="H197" i="7"/>
  <c r="G197" i="7"/>
  <c r="F197" i="7"/>
  <c r="E197" i="7"/>
  <c r="D197" i="7"/>
  <c r="C197" i="7"/>
  <c r="M196" i="7"/>
  <c r="L196" i="7"/>
  <c r="K196" i="7"/>
  <c r="J196" i="7"/>
  <c r="I196" i="7"/>
  <c r="H196" i="7"/>
  <c r="G196" i="7"/>
  <c r="F196" i="7"/>
  <c r="E196" i="7"/>
  <c r="D196" i="7"/>
  <c r="C196" i="7"/>
  <c r="M195" i="7"/>
  <c r="L195" i="7"/>
  <c r="K195" i="7"/>
  <c r="J195" i="7"/>
  <c r="I195" i="7"/>
  <c r="H195" i="7"/>
  <c r="G195" i="7"/>
  <c r="F195" i="7"/>
  <c r="E195" i="7"/>
  <c r="D195" i="7"/>
  <c r="C195" i="7"/>
  <c r="M194" i="7"/>
  <c r="L194" i="7"/>
  <c r="K194" i="7"/>
  <c r="J194" i="7"/>
  <c r="I194" i="7"/>
  <c r="H194" i="7"/>
  <c r="G194" i="7"/>
  <c r="F194" i="7"/>
  <c r="E194" i="7"/>
  <c r="D194" i="7"/>
  <c r="C194" i="7"/>
  <c r="M193" i="7"/>
  <c r="L193" i="7"/>
  <c r="K193" i="7"/>
  <c r="J193" i="7"/>
  <c r="I193" i="7"/>
  <c r="H193" i="7"/>
  <c r="G193" i="7"/>
  <c r="F193" i="7"/>
  <c r="E193" i="7"/>
  <c r="D193" i="7"/>
  <c r="C193" i="7"/>
  <c r="M192" i="7"/>
  <c r="L192" i="7"/>
  <c r="K192" i="7"/>
  <c r="J192" i="7"/>
  <c r="I192" i="7"/>
  <c r="H192" i="7"/>
  <c r="G192" i="7"/>
  <c r="F192" i="7"/>
  <c r="E192" i="7"/>
  <c r="D192" i="7"/>
  <c r="C192" i="7"/>
  <c r="M191" i="7"/>
  <c r="L191" i="7"/>
  <c r="K191" i="7"/>
  <c r="J191" i="7"/>
  <c r="I191" i="7"/>
  <c r="H191" i="7"/>
  <c r="G191" i="7"/>
  <c r="F191" i="7"/>
  <c r="E191" i="7"/>
  <c r="D191" i="7"/>
  <c r="C191" i="7"/>
  <c r="M190" i="7"/>
  <c r="L190" i="7"/>
  <c r="K190" i="7"/>
  <c r="J190" i="7"/>
  <c r="I190" i="7"/>
  <c r="H190" i="7"/>
  <c r="G190" i="7"/>
  <c r="F190" i="7"/>
  <c r="E190" i="7"/>
  <c r="D190" i="7"/>
  <c r="C190" i="7"/>
  <c r="M189" i="7"/>
  <c r="L189" i="7"/>
  <c r="K189" i="7"/>
  <c r="J189" i="7"/>
  <c r="I189" i="7"/>
  <c r="H189" i="7"/>
  <c r="G189" i="7"/>
  <c r="F189" i="7"/>
  <c r="E189" i="7"/>
  <c r="D189" i="7"/>
  <c r="C189" i="7"/>
  <c r="M188" i="7"/>
  <c r="L188" i="7"/>
  <c r="K188" i="7"/>
  <c r="J188" i="7"/>
  <c r="I188" i="7"/>
  <c r="H188" i="7"/>
  <c r="G188" i="7"/>
  <c r="F188" i="7"/>
  <c r="E188" i="7"/>
  <c r="D188" i="7"/>
  <c r="C188" i="7"/>
  <c r="M187" i="7"/>
  <c r="L187" i="7"/>
  <c r="K187" i="7"/>
  <c r="J187" i="7"/>
  <c r="I187" i="7"/>
  <c r="H187" i="7"/>
  <c r="G187" i="7"/>
  <c r="F187" i="7"/>
  <c r="E187" i="7"/>
  <c r="D187" i="7"/>
  <c r="C187" i="7"/>
  <c r="M186" i="7"/>
  <c r="L186" i="7"/>
  <c r="K186" i="7"/>
  <c r="J186" i="7"/>
  <c r="I186" i="7"/>
  <c r="H186" i="7"/>
  <c r="G186" i="7"/>
  <c r="F186" i="7"/>
  <c r="E186" i="7"/>
  <c r="D186" i="7"/>
  <c r="C186" i="7"/>
  <c r="M185" i="7"/>
  <c r="L185" i="7"/>
  <c r="K185" i="7"/>
  <c r="J185" i="7"/>
  <c r="I185" i="7"/>
  <c r="H185" i="7"/>
  <c r="G185" i="7"/>
  <c r="F185" i="7"/>
  <c r="E185" i="7"/>
  <c r="D185" i="7"/>
  <c r="C185" i="7"/>
  <c r="M184" i="7"/>
  <c r="L184" i="7"/>
  <c r="K184" i="7"/>
  <c r="J184" i="7"/>
  <c r="I184" i="7"/>
  <c r="H184" i="7"/>
  <c r="G184" i="7"/>
  <c r="F184" i="7"/>
  <c r="E184" i="7"/>
  <c r="D184" i="7"/>
  <c r="C184" i="7"/>
  <c r="M183" i="7"/>
  <c r="L183" i="7"/>
  <c r="K183" i="7"/>
  <c r="J183" i="7"/>
  <c r="I183" i="7"/>
  <c r="H183" i="7"/>
  <c r="G183" i="7"/>
  <c r="F183" i="7"/>
  <c r="E183" i="7"/>
  <c r="D183" i="7"/>
  <c r="C183" i="7"/>
  <c r="M182" i="7"/>
  <c r="L182" i="7"/>
  <c r="K182" i="7"/>
  <c r="J182" i="7"/>
  <c r="I182" i="7"/>
  <c r="H182" i="7"/>
  <c r="G182" i="7"/>
  <c r="F182" i="7"/>
  <c r="E182" i="7"/>
  <c r="D182" i="7"/>
  <c r="C182" i="7"/>
  <c r="M181" i="7"/>
  <c r="L181" i="7"/>
  <c r="K181" i="7"/>
  <c r="J181" i="7"/>
  <c r="I181" i="7"/>
  <c r="H181" i="7"/>
  <c r="G181" i="7"/>
  <c r="F181" i="7"/>
  <c r="E181" i="7"/>
  <c r="D181" i="7"/>
  <c r="C181" i="7"/>
  <c r="M180" i="7"/>
  <c r="L180" i="7"/>
  <c r="K180" i="7"/>
  <c r="J180" i="7"/>
  <c r="I180" i="7"/>
  <c r="H180" i="7"/>
  <c r="G180" i="7"/>
  <c r="F180" i="7"/>
  <c r="E180" i="7"/>
  <c r="D180" i="7"/>
  <c r="C180" i="7"/>
  <c r="M179" i="7"/>
  <c r="L179" i="7"/>
  <c r="K179" i="7"/>
  <c r="J179" i="7"/>
  <c r="I179" i="7"/>
  <c r="H179" i="7"/>
  <c r="G179" i="7"/>
  <c r="F179" i="7"/>
  <c r="E179" i="7"/>
  <c r="D179" i="7"/>
  <c r="C179" i="7"/>
  <c r="M178" i="7"/>
  <c r="L178" i="7"/>
  <c r="K178" i="7"/>
  <c r="J178" i="7"/>
  <c r="I178" i="7"/>
  <c r="H178" i="7"/>
  <c r="G178" i="7"/>
  <c r="F178" i="7"/>
  <c r="E178" i="7"/>
  <c r="D178" i="7"/>
  <c r="C178" i="7"/>
  <c r="M177" i="7"/>
  <c r="L177" i="7"/>
  <c r="K177" i="7"/>
  <c r="J177" i="7"/>
  <c r="I177" i="7"/>
  <c r="H177" i="7"/>
  <c r="G177" i="7"/>
  <c r="F177" i="7"/>
  <c r="E177" i="7"/>
  <c r="D177" i="7"/>
  <c r="C177" i="7"/>
  <c r="M176" i="7"/>
  <c r="L176" i="7"/>
  <c r="K176" i="7"/>
  <c r="J176" i="7"/>
  <c r="I176" i="7"/>
  <c r="H176" i="7"/>
  <c r="G176" i="7"/>
  <c r="F176" i="7"/>
  <c r="E176" i="7"/>
  <c r="D176" i="7"/>
  <c r="C176" i="7"/>
  <c r="M175" i="7"/>
  <c r="L175" i="7"/>
  <c r="K175" i="7"/>
  <c r="J175" i="7"/>
  <c r="I175" i="7"/>
  <c r="H175" i="7"/>
  <c r="G175" i="7"/>
  <c r="F175" i="7"/>
  <c r="E175" i="7"/>
  <c r="D175" i="7"/>
  <c r="C175" i="7"/>
  <c r="M174" i="7"/>
  <c r="L174" i="7"/>
  <c r="K174" i="7"/>
  <c r="J174" i="7"/>
  <c r="I174" i="7"/>
  <c r="H174" i="7"/>
  <c r="G174" i="7"/>
  <c r="F174" i="7"/>
  <c r="E174" i="7"/>
  <c r="D174" i="7"/>
  <c r="C174" i="7"/>
  <c r="M173" i="7"/>
  <c r="L173" i="7"/>
  <c r="K173" i="7"/>
  <c r="J173" i="7"/>
  <c r="I173" i="7"/>
  <c r="H173" i="7"/>
  <c r="G173" i="7"/>
  <c r="F173" i="7"/>
  <c r="E173" i="7"/>
  <c r="D173" i="7"/>
  <c r="C173" i="7"/>
  <c r="M172" i="7"/>
  <c r="L172" i="7"/>
  <c r="K172" i="7"/>
  <c r="J172" i="7"/>
  <c r="I172" i="7"/>
  <c r="H172" i="7"/>
  <c r="G172" i="7"/>
  <c r="F172" i="7"/>
  <c r="E172" i="7"/>
  <c r="D172" i="7"/>
  <c r="C172" i="7"/>
  <c r="M171" i="7"/>
  <c r="L171" i="7"/>
  <c r="K171" i="7"/>
  <c r="J171" i="7"/>
  <c r="I171" i="7"/>
  <c r="H171" i="7"/>
  <c r="G171" i="7"/>
  <c r="F171" i="7"/>
  <c r="E171" i="7"/>
  <c r="D171" i="7"/>
  <c r="C171" i="7"/>
  <c r="M170" i="7"/>
  <c r="L170" i="7"/>
  <c r="K170" i="7"/>
  <c r="J170" i="7"/>
  <c r="I170" i="7"/>
  <c r="H170" i="7"/>
  <c r="G170" i="7"/>
  <c r="F170" i="7"/>
  <c r="E170" i="7"/>
  <c r="D170" i="7"/>
  <c r="C170" i="7"/>
  <c r="M169" i="7"/>
  <c r="L169" i="7"/>
  <c r="K169" i="7"/>
  <c r="J169" i="7"/>
  <c r="I169" i="7"/>
  <c r="H169" i="7"/>
  <c r="G169" i="7"/>
  <c r="F169" i="7"/>
  <c r="E169" i="7"/>
  <c r="D169" i="7"/>
  <c r="C169" i="7"/>
  <c r="M168" i="7"/>
  <c r="L168" i="7"/>
  <c r="K168" i="7"/>
  <c r="J168" i="7"/>
  <c r="I168" i="7"/>
  <c r="H168" i="7"/>
  <c r="G168" i="7"/>
  <c r="F168" i="7"/>
  <c r="E168" i="7"/>
  <c r="D168" i="7"/>
  <c r="C168" i="7"/>
  <c r="M167" i="7"/>
  <c r="L167" i="7"/>
  <c r="K167" i="7"/>
  <c r="J167" i="7"/>
  <c r="I167" i="7"/>
  <c r="H167" i="7"/>
  <c r="G167" i="7"/>
  <c r="F167" i="7"/>
  <c r="E167" i="7"/>
  <c r="D167" i="7"/>
  <c r="C167" i="7"/>
  <c r="M166" i="7"/>
  <c r="L166" i="7"/>
  <c r="K166" i="7"/>
  <c r="J166" i="7"/>
  <c r="I166" i="7"/>
  <c r="H166" i="7"/>
  <c r="G166" i="7"/>
  <c r="F166" i="7"/>
  <c r="E166" i="7"/>
  <c r="D166" i="7"/>
  <c r="C166" i="7"/>
  <c r="M165" i="7"/>
  <c r="L165" i="7"/>
  <c r="K165" i="7"/>
  <c r="J165" i="7"/>
  <c r="I165" i="7"/>
  <c r="H165" i="7"/>
  <c r="G165" i="7"/>
  <c r="F165" i="7"/>
  <c r="E165" i="7"/>
  <c r="D165" i="7"/>
  <c r="C165" i="7"/>
  <c r="M164" i="7"/>
  <c r="L164" i="7"/>
  <c r="K164" i="7"/>
  <c r="J164" i="7"/>
  <c r="I164" i="7"/>
  <c r="H164" i="7"/>
  <c r="G164" i="7"/>
  <c r="F164" i="7"/>
  <c r="E164" i="7"/>
  <c r="D164" i="7"/>
  <c r="C164" i="7"/>
  <c r="M163" i="7"/>
  <c r="L163" i="7"/>
  <c r="K163" i="7"/>
  <c r="J163" i="7"/>
  <c r="I163" i="7"/>
  <c r="H163" i="7"/>
  <c r="G163" i="7"/>
  <c r="F163" i="7"/>
  <c r="E163" i="7"/>
  <c r="D163" i="7"/>
  <c r="C163" i="7"/>
  <c r="M162" i="7"/>
  <c r="L162" i="7"/>
  <c r="K162" i="7"/>
  <c r="J162" i="7"/>
  <c r="I162" i="7"/>
  <c r="H162" i="7"/>
  <c r="G162" i="7"/>
  <c r="F162" i="7"/>
  <c r="E162" i="7"/>
  <c r="D162" i="7"/>
  <c r="C162" i="7"/>
  <c r="M161" i="7"/>
  <c r="L161" i="7"/>
  <c r="K161" i="7"/>
  <c r="J161" i="7"/>
  <c r="I161" i="7"/>
  <c r="H161" i="7"/>
  <c r="G161" i="7"/>
  <c r="F161" i="7"/>
  <c r="E161" i="7"/>
  <c r="D161" i="7"/>
  <c r="C161" i="7"/>
  <c r="M160" i="7"/>
  <c r="L160" i="7"/>
  <c r="K160" i="7"/>
  <c r="J160" i="7"/>
  <c r="I160" i="7"/>
  <c r="H160" i="7"/>
  <c r="G160" i="7"/>
  <c r="F160" i="7"/>
  <c r="E160" i="7"/>
  <c r="D160" i="7"/>
  <c r="C160" i="7"/>
  <c r="M159" i="7"/>
  <c r="L159" i="7"/>
  <c r="K159" i="7"/>
  <c r="J159" i="7"/>
  <c r="I159" i="7"/>
  <c r="H159" i="7"/>
  <c r="G159" i="7"/>
  <c r="F159" i="7"/>
  <c r="E159" i="7"/>
  <c r="D159" i="7"/>
  <c r="C159" i="7"/>
  <c r="M158" i="7"/>
  <c r="L158" i="7"/>
  <c r="K158" i="7"/>
  <c r="J158" i="7"/>
  <c r="I158" i="7"/>
  <c r="H158" i="7"/>
  <c r="G158" i="7"/>
  <c r="F158" i="7"/>
  <c r="E158" i="7"/>
  <c r="D158" i="7"/>
  <c r="C158" i="7"/>
  <c r="M157" i="7"/>
  <c r="L157" i="7"/>
  <c r="K157" i="7"/>
  <c r="J157" i="7"/>
  <c r="I157" i="7"/>
  <c r="H157" i="7"/>
  <c r="G157" i="7"/>
  <c r="F157" i="7"/>
  <c r="E157" i="7"/>
  <c r="D157" i="7"/>
  <c r="C157" i="7"/>
  <c r="M156" i="7"/>
  <c r="L156" i="7"/>
  <c r="K156" i="7"/>
  <c r="J156" i="7"/>
  <c r="I156" i="7"/>
  <c r="H156" i="7"/>
  <c r="G156" i="7"/>
  <c r="F156" i="7"/>
  <c r="E156" i="7"/>
  <c r="D156" i="7"/>
  <c r="C156" i="7"/>
  <c r="M155" i="7"/>
  <c r="L155" i="7"/>
  <c r="K155" i="7"/>
  <c r="J155" i="7"/>
  <c r="I155" i="7"/>
  <c r="H155" i="7"/>
  <c r="G155" i="7"/>
  <c r="F155" i="7"/>
  <c r="E155" i="7"/>
  <c r="D155" i="7"/>
  <c r="C155" i="7"/>
  <c r="M154" i="7"/>
  <c r="L154" i="7"/>
  <c r="K154" i="7"/>
  <c r="J154" i="7"/>
  <c r="I154" i="7"/>
  <c r="H154" i="7"/>
  <c r="G154" i="7"/>
  <c r="F154" i="7"/>
  <c r="E154" i="7"/>
  <c r="D154" i="7"/>
  <c r="C154" i="7"/>
  <c r="M153" i="7"/>
  <c r="L153" i="7"/>
  <c r="K153" i="7"/>
  <c r="J153" i="7"/>
  <c r="I153" i="7"/>
  <c r="H153" i="7"/>
  <c r="G153" i="7"/>
  <c r="F153" i="7"/>
  <c r="E153" i="7"/>
  <c r="D153" i="7"/>
  <c r="C153" i="7"/>
  <c r="M152" i="7"/>
  <c r="L152" i="7"/>
  <c r="K152" i="7"/>
  <c r="J152" i="7"/>
  <c r="I152" i="7"/>
  <c r="H152" i="7"/>
  <c r="G152" i="7"/>
  <c r="F152" i="7"/>
  <c r="E152" i="7"/>
  <c r="D152" i="7"/>
  <c r="C152" i="7"/>
  <c r="M151" i="7"/>
  <c r="L151" i="7"/>
  <c r="K151" i="7"/>
  <c r="J151" i="7"/>
  <c r="I151" i="7"/>
  <c r="H151" i="7"/>
  <c r="G151" i="7"/>
  <c r="F151" i="7"/>
  <c r="E151" i="7"/>
  <c r="D151" i="7"/>
  <c r="C151" i="7"/>
  <c r="M150" i="7"/>
  <c r="L150" i="7"/>
  <c r="K150" i="7"/>
  <c r="J150" i="7"/>
  <c r="I150" i="7"/>
  <c r="H150" i="7"/>
  <c r="G150" i="7"/>
  <c r="F150" i="7"/>
  <c r="E150" i="7"/>
  <c r="D150" i="7"/>
  <c r="C150" i="7"/>
  <c r="M149" i="7"/>
  <c r="L149" i="7"/>
  <c r="K149" i="7"/>
  <c r="J149" i="7"/>
  <c r="I149" i="7"/>
  <c r="H149" i="7"/>
  <c r="G149" i="7"/>
  <c r="F149" i="7"/>
  <c r="E149" i="7"/>
  <c r="D149" i="7"/>
  <c r="C149" i="7"/>
  <c r="M148" i="7"/>
  <c r="L148" i="7"/>
  <c r="K148" i="7"/>
  <c r="J148" i="7"/>
  <c r="I148" i="7"/>
  <c r="H148" i="7"/>
  <c r="G148" i="7"/>
  <c r="F148" i="7"/>
  <c r="E148" i="7"/>
  <c r="D148" i="7"/>
  <c r="C148" i="7"/>
  <c r="M147" i="7"/>
  <c r="L147" i="7"/>
  <c r="K147" i="7"/>
  <c r="J147" i="7"/>
  <c r="I147" i="7"/>
  <c r="H147" i="7"/>
  <c r="G147" i="7"/>
  <c r="F147" i="7"/>
  <c r="E147" i="7"/>
  <c r="D147" i="7"/>
  <c r="C147" i="7"/>
  <c r="M146" i="7"/>
  <c r="L146" i="7"/>
  <c r="K146" i="7"/>
  <c r="J146" i="7"/>
  <c r="I146" i="7"/>
  <c r="H146" i="7"/>
  <c r="G146" i="7"/>
  <c r="F146" i="7"/>
  <c r="E146" i="7"/>
  <c r="D146" i="7"/>
  <c r="C146" i="7"/>
  <c r="M145" i="7"/>
  <c r="L145" i="7"/>
  <c r="K145" i="7"/>
  <c r="J145" i="7"/>
  <c r="I145" i="7"/>
  <c r="H145" i="7"/>
  <c r="G145" i="7"/>
  <c r="F145" i="7"/>
  <c r="E145" i="7"/>
  <c r="D145" i="7"/>
  <c r="C145" i="7"/>
  <c r="M144" i="7"/>
  <c r="L144" i="7"/>
  <c r="K144" i="7"/>
  <c r="J144" i="7"/>
  <c r="I144" i="7"/>
  <c r="H144" i="7"/>
  <c r="G144" i="7"/>
  <c r="F144" i="7"/>
  <c r="E144" i="7"/>
  <c r="D144" i="7"/>
  <c r="C144" i="7"/>
  <c r="M143" i="7"/>
  <c r="L143" i="7"/>
  <c r="K143" i="7"/>
  <c r="J143" i="7"/>
  <c r="I143" i="7"/>
  <c r="H143" i="7"/>
  <c r="G143" i="7"/>
  <c r="F143" i="7"/>
  <c r="E143" i="7"/>
  <c r="D143" i="7"/>
  <c r="C143" i="7"/>
  <c r="M142" i="7"/>
  <c r="L142" i="7"/>
  <c r="K142" i="7"/>
  <c r="J142" i="7"/>
  <c r="I142" i="7"/>
  <c r="H142" i="7"/>
  <c r="G142" i="7"/>
  <c r="F142" i="7"/>
  <c r="E142" i="7"/>
  <c r="D142" i="7"/>
  <c r="C142" i="7"/>
  <c r="M141" i="7"/>
  <c r="L141" i="7"/>
  <c r="K141" i="7"/>
  <c r="J141" i="7"/>
  <c r="I141" i="7"/>
  <c r="H141" i="7"/>
  <c r="G141" i="7"/>
  <c r="F141" i="7"/>
  <c r="E141" i="7"/>
  <c r="D141" i="7"/>
  <c r="C141" i="7"/>
  <c r="M140" i="7"/>
  <c r="L140" i="7"/>
  <c r="K140" i="7"/>
  <c r="J140" i="7"/>
  <c r="I140" i="7"/>
  <c r="H140" i="7"/>
  <c r="G140" i="7"/>
  <c r="F140" i="7"/>
  <c r="E140" i="7"/>
  <c r="D140" i="7"/>
  <c r="C140" i="7"/>
  <c r="M139" i="7"/>
  <c r="L139" i="7"/>
  <c r="K139" i="7"/>
  <c r="J139" i="7"/>
  <c r="I139" i="7"/>
  <c r="H139" i="7"/>
  <c r="G139" i="7"/>
  <c r="F139" i="7"/>
  <c r="E139" i="7"/>
  <c r="D139" i="7"/>
  <c r="C139" i="7"/>
  <c r="M138" i="7"/>
  <c r="L138" i="7"/>
  <c r="K138" i="7"/>
  <c r="J138" i="7"/>
  <c r="I138" i="7"/>
  <c r="H138" i="7"/>
  <c r="G138" i="7"/>
  <c r="F138" i="7"/>
  <c r="E138" i="7"/>
  <c r="D138" i="7"/>
  <c r="C138" i="7"/>
  <c r="M137" i="7"/>
  <c r="L137" i="7"/>
  <c r="K137" i="7"/>
  <c r="J137" i="7"/>
  <c r="I137" i="7"/>
  <c r="H137" i="7"/>
  <c r="G137" i="7"/>
  <c r="F137" i="7"/>
  <c r="E137" i="7"/>
  <c r="D137" i="7"/>
  <c r="C137" i="7"/>
  <c r="M136" i="7"/>
  <c r="L136" i="7"/>
  <c r="K136" i="7"/>
  <c r="J136" i="7"/>
  <c r="I136" i="7"/>
  <c r="H136" i="7"/>
  <c r="G136" i="7"/>
  <c r="F136" i="7"/>
  <c r="E136" i="7"/>
  <c r="D136" i="7"/>
  <c r="C136" i="7"/>
  <c r="M135" i="7"/>
  <c r="L135" i="7"/>
  <c r="K135" i="7"/>
  <c r="J135" i="7"/>
  <c r="I135" i="7"/>
  <c r="H135" i="7"/>
  <c r="G135" i="7"/>
  <c r="F135" i="7"/>
  <c r="E135" i="7"/>
  <c r="D135" i="7"/>
  <c r="C135" i="7"/>
  <c r="M134" i="7"/>
  <c r="L134" i="7"/>
  <c r="K134" i="7"/>
  <c r="J134" i="7"/>
  <c r="I134" i="7"/>
  <c r="H134" i="7"/>
  <c r="G134" i="7"/>
  <c r="F134" i="7"/>
  <c r="E134" i="7"/>
  <c r="D134" i="7"/>
  <c r="C134" i="7"/>
  <c r="M133" i="7"/>
  <c r="L133" i="7"/>
  <c r="K133" i="7"/>
  <c r="J133" i="7"/>
  <c r="I133" i="7"/>
  <c r="H133" i="7"/>
  <c r="G133" i="7"/>
  <c r="F133" i="7"/>
  <c r="E133" i="7"/>
  <c r="D133" i="7"/>
  <c r="C133" i="7"/>
  <c r="M132" i="7"/>
  <c r="L132" i="7"/>
  <c r="K132" i="7"/>
  <c r="J132" i="7"/>
  <c r="I132" i="7"/>
  <c r="H132" i="7"/>
  <c r="G132" i="7"/>
  <c r="F132" i="7"/>
  <c r="E132" i="7"/>
  <c r="D132" i="7"/>
  <c r="C132" i="7"/>
  <c r="M131" i="7"/>
  <c r="L131" i="7"/>
  <c r="K131" i="7"/>
  <c r="J131" i="7"/>
  <c r="I131" i="7"/>
  <c r="H131" i="7"/>
  <c r="G131" i="7"/>
  <c r="F131" i="7"/>
  <c r="E131" i="7"/>
  <c r="D131" i="7"/>
  <c r="C131" i="7"/>
  <c r="M130" i="7"/>
  <c r="L130" i="7"/>
  <c r="K130" i="7"/>
  <c r="J130" i="7"/>
  <c r="I130" i="7"/>
  <c r="H130" i="7"/>
  <c r="G130" i="7"/>
  <c r="F130" i="7"/>
  <c r="E130" i="7"/>
  <c r="D130" i="7"/>
  <c r="C130" i="7"/>
  <c r="M129" i="7"/>
  <c r="L129" i="7"/>
  <c r="K129" i="7"/>
  <c r="J129" i="7"/>
  <c r="I129" i="7"/>
  <c r="H129" i="7"/>
  <c r="G129" i="7"/>
  <c r="F129" i="7"/>
  <c r="E129" i="7"/>
  <c r="D129" i="7"/>
  <c r="C129" i="7"/>
  <c r="M128" i="7"/>
  <c r="L128" i="7"/>
  <c r="K128" i="7"/>
  <c r="J128" i="7"/>
  <c r="I128" i="7"/>
  <c r="H128" i="7"/>
  <c r="G128" i="7"/>
  <c r="F128" i="7"/>
  <c r="E128" i="7"/>
  <c r="D128" i="7"/>
  <c r="C128" i="7"/>
  <c r="M127" i="7"/>
  <c r="L127" i="7"/>
  <c r="K127" i="7"/>
  <c r="J127" i="7"/>
  <c r="I127" i="7"/>
  <c r="H127" i="7"/>
  <c r="G127" i="7"/>
  <c r="F127" i="7"/>
  <c r="E127" i="7"/>
  <c r="D127" i="7"/>
  <c r="C127" i="7"/>
  <c r="M126" i="7"/>
  <c r="L126" i="7"/>
  <c r="K126" i="7"/>
  <c r="J126" i="7"/>
  <c r="I126" i="7"/>
  <c r="H126" i="7"/>
  <c r="G126" i="7"/>
  <c r="F126" i="7"/>
  <c r="E126" i="7"/>
  <c r="D126" i="7"/>
  <c r="C126" i="7"/>
  <c r="M125" i="7"/>
  <c r="L125" i="7"/>
  <c r="K125" i="7"/>
  <c r="J125" i="7"/>
  <c r="I125" i="7"/>
  <c r="H125" i="7"/>
  <c r="G125" i="7"/>
  <c r="F125" i="7"/>
  <c r="E125" i="7"/>
  <c r="D125" i="7"/>
  <c r="C125" i="7"/>
  <c r="M124" i="7"/>
  <c r="L124" i="7"/>
  <c r="K124" i="7"/>
  <c r="J124" i="7"/>
  <c r="I124" i="7"/>
  <c r="H124" i="7"/>
  <c r="G124" i="7"/>
  <c r="F124" i="7"/>
  <c r="E124" i="7"/>
  <c r="D124" i="7"/>
  <c r="C124" i="7"/>
  <c r="M123" i="7"/>
  <c r="L123" i="7"/>
  <c r="K123" i="7"/>
  <c r="J123" i="7"/>
  <c r="I123" i="7"/>
  <c r="H123" i="7"/>
  <c r="G123" i="7"/>
  <c r="F123" i="7"/>
  <c r="E123" i="7"/>
  <c r="D123" i="7"/>
  <c r="C123" i="7"/>
  <c r="M122" i="7"/>
  <c r="L122" i="7"/>
  <c r="K122" i="7"/>
  <c r="J122" i="7"/>
  <c r="I122" i="7"/>
  <c r="H122" i="7"/>
  <c r="G122" i="7"/>
  <c r="F122" i="7"/>
  <c r="E122" i="7"/>
  <c r="D122" i="7"/>
  <c r="C122" i="7"/>
  <c r="M121" i="7"/>
  <c r="L121" i="7"/>
  <c r="K121" i="7"/>
  <c r="J121" i="7"/>
  <c r="I121" i="7"/>
  <c r="H121" i="7"/>
  <c r="G121" i="7"/>
  <c r="F121" i="7"/>
  <c r="E121" i="7"/>
  <c r="D121" i="7"/>
  <c r="C121" i="7"/>
  <c r="M120" i="7"/>
  <c r="L120" i="7"/>
  <c r="K120" i="7"/>
  <c r="J120" i="7"/>
  <c r="I120" i="7"/>
  <c r="H120" i="7"/>
  <c r="G120" i="7"/>
  <c r="F120" i="7"/>
  <c r="E120" i="7"/>
  <c r="D120" i="7"/>
  <c r="C120" i="7"/>
  <c r="M119" i="7"/>
  <c r="L119" i="7"/>
  <c r="K119" i="7"/>
  <c r="J119" i="7"/>
  <c r="I119" i="7"/>
  <c r="H119" i="7"/>
  <c r="G119" i="7"/>
  <c r="F119" i="7"/>
  <c r="E119" i="7"/>
  <c r="D119" i="7"/>
  <c r="C119" i="7"/>
  <c r="M118" i="7"/>
  <c r="L118" i="7"/>
  <c r="K118" i="7"/>
  <c r="J118" i="7"/>
  <c r="I118" i="7"/>
  <c r="H118" i="7"/>
  <c r="G118" i="7"/>
  <c r="F118" i="7"/>
  <c r="E118" i="7"/>
  <c r="D118" i="7"/>
  <c r="C118" i="7"/>
  <c r="M117" i="7"/>
  <c r="L117" i="7"/>
  <c r="K117" i="7"/>
  <c r="J117" i="7"/>
  <c r="I117" i="7"/>
  <c r="H117" i="7"/>
  <c r="G117" i="7"/>
  <c r="F117" i="7"/>
  <c r="E117" i="7"/>
  <c r="D117" i="7"/>
  <c r="C117" i="7"/>
  <c r="M116" i="7"/>
  <c r="L116" i="7"/>
  <c r="K116" i="7"/>
  <c r="J116" i="7"/>
  <c r="I116" i="7"/>
  <c r="H116" i="7"/>
  <c r="G116" i="7"/>
  <c r="F116" i="7"/>
  <c r="E116" i="7"/>
  <c r="D116" i="7"/>
  <c r="C116" i="7"/>
  <c r="M115" i="7"/>
  <c r="L115" i="7"/>
  <c r="K115" i="7"/>
  <c r="J115" i="7"/>
  <c r="I115" i="7"/>
  <c r="H115" i="7"/>
  <c r="G115" i="7"/>
  <c r="F115" i="7"/>
  <c r="E115" i="7"/>
  <c r="D115" i="7"/>
  <c r="C115" i="7"/>
  <c r="M114" i="7"/>
  <c r="L114" i="7"/>
  <c r="K114" i="7"/>
  <c r="J114" i="7"/>
  <c r="I114" i="7"/>
  <c r="H114" i="7"/>
  <c r="G114" i="7"/>
  <c r="F114" i="7"/>
  <c r="E114" i="7"/>
  <c r="D114" i="7"/>
  <c r="C114" i="7"/>
  <c r="M113" i="7"/>
  <c r="L113" i="7"/>
  <c r="K113" i="7"/>
  <c r="J113" i="7"/>
  <c r="I113" i="7"/>
  <c r="H113" i="7"/>
  <c r="G113" i="7"/>
  <c r="F113" i="7"/>
  <c r="E113" i="7"/>
  <c r="D113" i="7"/>
  <c r="C113" i="7"/>
  <c r="M112" i="7"/>
  <c r="L112" i="7"/>
  <c r="K112" i="7"/>
  <c r="J112" i="7"/>
  <c r="I112" i="7"/>
  <c r="H112" i="7"/>
  <c r="G112" i="7"/>
  <c r="F112" i="7"/>
  <c r="E112" i="7"/>
  <c r="D112" i="7"/>
  <c r="C112" i="7"/>
  <c r="M111" i="7"/>
  <c r="L111" i="7"/>
  <c r="K111" i="7"/>
  <c r="J111" i="7"/>
  <c r="I111" i="7"/>
  <c r="H111" i="7"/>
  <c r="G111" i="7"/>
  <c r="F111" i="7"/>
  <c r="E111" i="7"/>
  <c r="D111" i="7"/>
  <c r="C111" i="7"/>
  <c r="M110" i="7"/>
  <c r="L110" i="7"/>
  <c r="K110" i="7"/>
  <c r="J110" i="7"/>
  <c r="I110" i="7"/>
  <c r="H110" i="7"/>
  <c r="G110" i="7"/>
  <c r="F110" i="7"/>
  <c r="E110" i="7"/>
  <c r="D110" i="7"/>
  <c r="C110" i="7"/>
  <c r="M109" i="7"/>
  <c r="L109" i="7"/>
  <c r="K109" i="7"/>
  <c r="J109" i="7"/>
  <c r="I109" i="7"/>
  <c r="H109" i="7"/>
  <c r="G109" i="7"/>
  <c r="F109" i="7"/>
  <c r="E109" i="7"/>
  <c r="D109" i="7"/>
  <c r="C109" i="7"/>
  <c r="M108" i="7"/>
  <c r="L108" i="7"/>
  <c r="K108" i="7"/>
  <c r="J108" i="7"/>
  <c r="I108" i="7"/>
  <c r="H108" i="7"/>
  <c r="G108" i="7"/>
  <c r="F108" i="7"/>
  <c r="E108" i="7"/>
  <c r="D108" i="7"/>
  <c r="C108" i="7"/>
  <c r="M107" i="7"/>
  <c r="L107" i="7"/>
  <c r="K107" i="7"/>
  <c r="J107" i="7"/>
  <c r="I107" i="7"/>
  <c r="H107" i="7"/>
  <c r="G107" i="7"/>
  <c r="F107" i="7"/>
  <c r="E107" i="7"/>
  <c r="D107" i="7"/>
  <c r="C107" i="7"/>
  <c r="M106" i="7"/>
  <c r="L106" i="7"/>
  <c r="K106" i="7"/>
  <c r="J106" i="7"/>
  <c r="I106" i="7"/>
  <c r="H106" i="7"/>
  <c r="G106" i="7"/>
  <c r="F106" i="7"/>
  <c r="E106" i="7"/>
  <c r="D106" i="7"/>
  <c r="C106" i="7"/>
  <c r="M105" i="7"/>
  <c r="L105" i="7"/>
  <c r="K105" i="7"/>
  <c r="J105" i="7"/>
  <c r="I105" i="7"/>
  <c r="H105" i="7"/>
  <c r="G105" i="7"/>
  <c r="F105" i="7"/>
  <c r="E105" i="7"/>
  <c r="D105" i="7"/>
  <c r="C105" i="7"/>
  <c r="M104" i="7"/>
  <c r="L104" i="7"/>
  <c r="K104" i="7"/>
  <c r="J104" i="7"/>
  <c r="I104" i="7"/>
  <c r="H104" i="7"/>
  <c r="G104" i="7"/>
  <c r="F104" i="7"/>
  <c r="E104" i="7"/>
  <c r="D104" i="7"/>
  <c r="C104" i="7"/>
  <c r="M103" i="7"/>
  <c r="L103" i="7"/>
  <c r="K103" i="7"/>
  <c r="J103" i="7"/>
  <c r="I103" i="7"/>
  <c r="H103" i="7"/>
  <c r="G103" i="7"/>
  <c r="F103" i="7"/>
  <c r="E103" i="7"/>
  <c r="D103" i="7"/>
  <c r="C103" i="7"/>
  <c r="M102" i="7"/>
  <c r="L102" i="7"/>
  <c r="K102" i="7"/>
  <c r="J102" i="7"/>
  <c r="I102" i="7"/>
  <c r="H102" i="7"/>
  <c r="G102" i="7"/>
  <c r="F102" i="7"/>
  <c r="E102" i="7"/>
  <c r="D102" i="7"/>
  <c r="C102" i="7"/>
  <c r="M101" i="7"/>
  <c r="L101" i="7"/>
  <c r="K101" i="7"/>
  <c r="J101" i="7"/>
  <c r="I101" i="7"/>
  <c r="H101" i="7"/>
  <c r="G101" i="7"/>
  <c r="F101" i="7"/>
  <c r="E101" i="7"/>
  <c r="D101" i="7"/>
  <c r="C101" i="7"/>
  <c r="M100" i="7"/>
  <c r="L100" i="7"/>
  <c r="K100" i="7"/>
  <c r="J100" i="7"/>
  <c r="I100" i="7"/>
  <c r="H100" i="7"/>
  <c r="G100" i="7"/>
  <c r="F100" i="7"/>
  <c r="E100" i="7"/>
  <c r="D100" i="7"/>
  <c r="C100" i="7"/>
  <c r="M99" i="7"/>
  <c r="L99" i="7"/>
  <c r="K99" i="7"/>
  <c r="J99" i="7"/>
  <c r="I99" i="7"/>
  <c r="H99" i="7"/>
  <c r="G99" i="7"/>
  <c r="F99" i="7"/>
  <c r="E99" i="7"/>
  <c r="D99" i="7"/>
  <c r="C99" i="7"/>
  <c r="M98" i="7"/>
  <c r="L98" i="7"/>
  <c r="K98" i="7"/>
  <c r="J98" i="7"/>
  <c r="I98" i="7"/>
  <c r="H98" i="7"/>
  <c r="G98" i="7"/>
  <c r="F98" i="7"/>
  <c r="E98" i="7"/>
  <c r="D98" i="7"/>
  <c r="C98" i="7"/>
  <c r="M97" i="7"/>
  <c r="L97" i="7"/>
  <c r="K97" i="7"/>
  <c r="J97" i="7"/>
  <c r="I97" i="7"/>
  <c r="H97" i="7"/>
  <c r="G97" i="7"/>
  <c r="F97" i="7"/>
  <c r="E97" i="7"/>
  <c r="D97" i="7"/>
  <c r="C97" i="7"/>
  <c r="M96" i="7"/>
  <c r="L96" i="7"/>
  <c r="K96" i="7"/>
  <c r="J96" i="7"/>
  <c r="I96" i="7"/>
  <c r="H96" i="7"/>
  <c r="G96" i="7"/>
  <c r="F96" i="7"/>
  <c r="E96" i="7"/>
  <c r="D96" i="7"/>
  <c r="C96" i="7"/>
  <c r="M95" i="7"/>
  <c r="L95" i="7"/>
  <c r="K95" i="7"/>
  <c r="J95" i="7"/>
  <c r="I95" i="7"/>
  <c r="H95" i="7"/>
  <c r="G95" i="7"/>
  <c r="F95" i="7"/>
  <c r="E95" i="7"/>
  <c r="D95" i="7"/>
  <c r="C95" i="7"/>
  <c r="M94" i="7"/>
  <c r="L94" i="7"/>
  <c r="K94" i="7"/>
  <c r="J94" i="7"/>
  <c r="I94" i="7"/>
  <c r="H94" i="7"/>
  <c r="G94" i="7"/>
  <c r="F94" i="7"/>
  <c r="E94" i="7"/>
  <c r="D94" i="7"/>
  <c r="C94" i="7"/>
  <c r="M93" i="7"/>
  <c r="L93" i="7"/>
  <c r="K93" i="7"/>
  <c r="J93" i="7"/>
  <c r="I93" i="7"/>
  <c r="H93" i="7"/>
  <c r="G93" i="7"/>
  <c r="F93" i="7"/>
  <c r="E93" i="7"/>
  <c r="D93" i="7"/>
  <c r="C93" i="7"/>
  <c r="M92" i="7"/>
  <c r="L92" i="7"/>
  <c r="K92" i="7"/>
  <c r="J92" i="7"/>
  <c r="I92" i="7"/>
  <c r="H92" i="7"/>
  <c r="G92" i="7"/>
  <c r="F92" i="7"/>
  <c r="E92" i="7"/>
  <c r="D92" i="7"/>
  <c r="C92" i="7"/>
  <c r="M91" i="7"/>
  <c r="L91" i="7"/>
  <c r="K91" i="7"/>
  <c r="J91" i="7"/>
  <c r="I91" i="7"/>
  <c r="H91" i="7"/>
  <c r="G91" i="7"/>
  <c r="F91" i="7"/>
  <c r="E91" i="7"/>
  <c r="D91" i="7"/>
  <c r="C91" i="7"/>
  <c r="M90" i="7"/>
  <c r="L90" i="7"/>
  <c r="K90" i="7"/>
  <c r="J90" i="7"/>
  <c r="I90" i="7"/>
  <c r="H90" i="7"/>
  <c r="G90" i="7"/>
  <c r="F90" i="7"/>
  <c r="E90" i="7"/>
  <c r="D90" i="7"/>
  <c r="C90" i="7"/>
  <c r="M89" i="7"/>
  <c r="L89" i="7"/>
  <c r="K89" i="7"/>
  <c r="J89" i="7"/>
  <c r="I89" i="7"/>
  <c r="H89" i="7"/>
  <c r="G89" i="7"/>
  <c r="F89" i="7"/>
  <c r="E89" i="7"/>
  <c r="D89" i="7"/>
  <c r="C89" i="7"/>
  <c r="M88" i="7"/>
  <c r="L88" i="7"/>
  <c r="K88" i="7"/>
  <c r="J88" i="7"/>
  <c r="I88" i="7"/>
  <c r="H88" i="7"/>
  <c r="G88" i="7"/>
  <c r="F88" i="7"/>
  <c r="E88" i="7"/>
  <c r="D88" i="7"/>
  <c r="C88" i="7"/>
  <c r="M87" i="7"/>
  <c r="L87" i="7"/>
  <c r="K87" i="7"/>
  <c r="J87" i="7"/>
  <c r="I87" i="7"/>
  <c r="H87" i="7"/>
  <c r="G87" i="7"/>
  <c r="F87" i="7"/>
  <c r="E87" i="7"/>
  <c r="D87" i="7"/>
  <c r="C87" i="7"/>
  <c r="M86" i="7"/>
  <c r="L86" i="7"/>
  <c r="K86" i="7"/>
  <c r="J86" i="7"/>
  <c r="I86" i="7"/>
  <c r="H86" i="7"/>
  <c r="G86" i="7"/>
  <c r="F86" i="7"/>
  <c r="E86" i="7"/>
  <c r="D86" i="7"/>
  <c r="C86" i="7"/>
  <c r="M85" i="7"/>
  <c r="L85" i="7"/>
  <c r="K85" i="7"/>
  <c r="J85" i="7"/>
  <c r="I85" i="7"/>
  <c r="H85" i="7"/>
  <c r="G85" i="7"/>
  <c r="F85" i="7"/>
  <c r="E85" i="7"/>
  <c r="D85" i="7"/>
  <c r="C85" i="7"/>
  <c r="M84" i="7"/>
  <c r="L84" i="7"/>
  <c r="K84" i="7"/>
  <c r="J84" i="7"/>
  <c r="I84" i="7"/>
  <c r="H84" i="7"/>
  <c r="G84" i="7"/>
  <c r="F84" i="7"/>
  <c r="E84" i="7"/>
  <c r="D84" i="7"/>
  <c r="C84" i="7"/>
  <c r="M83" i="7"/>
  <c r="L83" i="7"/>
  <c r="K83" i="7"/>
  <c r="J83" i="7"/>
  <c r="I83" i="7"/>
  <c r="H83" i="7"/>
  <c r="G83" i="7"/>
  <c r="F83" i="7"/>
  <c r="E83" i="7"/>
  <c r="D83" i="7"/>
  <c r="C83" i="7"/>
  <c r="M82" i="7"/>
  <c r="L82" i="7"/>
  <c r="K82" i="7"/>
  <c r="J82" i="7"/>
  <c r="I82" i="7"/>
  <c r="H82" i="7"/>
  <c r="G82" i="7"/>
  <c r="F82" i="7"/>
  <c r="E82" i="7"/>
  <c r="D82" i="7"/>
  <c r="C82" i="7"/>
  <c r="M81" i="7"/>
  <c r="L81" i="7"/>
  <c r="K81" i="7"/>
  <c r="J81" i="7"/>
  <c r="I81" i="7"/>
  <c r="H81" i="7"/>
  <c r="G81" i="7"/>
  <c r="F81" i="7"/>
  <c r="E81" i="7"/>
  <c r="D81" i="7"/>
  <c r="C81" i="7"/>
  <c r="M80" i="7"/>
  <c r="L80" i="7"/>
  <c r="K80" i="7"/>
  <c r="J80" i="7"/>
  <c r="I80" i="7"/>
  <c r="H80" i="7"/>
  <c r="G80" i="7"/>
  <c r="F80" i="7"/>
  <c r="E80" i="7"/>
  <c r="D80" i="7"/>
  <c r="C80" i="7"/>
  <c r="M79" i="7"/>
  <c r="L79" i="7"/>
  <c r="K79" i="7"/>
  <c r="J79" i="7"/>
  <c r="I79" i="7"/>
  <c r="H79" i="7"/>
  <c r="G79" i="7"/>
  <c r="F79" i="7"/>
  <c r="E79" i="7"/>
  <c r="D79" i="7"/>
  <c r="C79" i="7"/>
  <c r="M78" i="7"/>
  <c r="L78" i="7"/>
  <c r="K78" i="7"/>
  <c r="J78" i="7"/>
  <c r="I78" i="7"/>
  <c r="H78" i="7"/>
  <c r="G78" i="7"/>
  <c r="F78" i="7"/>
  <c r="E78" i="7"/>
  <c r="D78" i="7"/>
  <c r="C78" i="7"/>
  <c r="M77" i="7"/>
  <c r="L77" i="7"/>
  <c r="K77" i="7"/>
  <c r="J77" i="7"/>
  <c r="I77" i="7"/>
  <c r="H77" i="7"/>
  <c r="G77" i="7"/>
  <c r="F77" i="7"/>
  <c r="E77" i="7"/>
  <c r="D77" i="7"/>
  <c r="C77" i="7"/>
  <c r="M76" i="7"/>
  <c r="L76" i="7"/>
  <c r="K76" i="7"/>
  <c r="J76" i="7"/>
  <c r="I76" i="7"/>
  <c r="H76" i="7"/>
  <c r="G76" i="7"/>
  <c r="F76" i="7"/>
  <c r="E76" i="7"/>
  <c r="D76" i="7"/>
  <c r="C76" i="7"/>
  <c r="M75" i="7"/>
  <c r="L75" i="7"/>
  <c r="K75" i="7"/>
  <c r="J75" i="7"/>
  <c r="I75" i="7"/>
  <c r="H75" i="7"/>
  <c r="G75" i="7"/>
  <c r="F75" i="7"/>
  <c r="E75" i="7"/>
  <c r="D75" i="7"/>
  <c r="C75" i="7"/>
  <c r="M74" i="7"/>
  <c r="L74" i="7"/>
  <c r="K74" i="7"/>
  <c r="J74" i="7"/>
  <c r="I74" i="7"/>
  <c r="H74" i="7"/>
  <c r="G74" i="7"/>
  <c r="F74" i="7"/>
  <c r="E74" i="7"/>
  <c r="D74" i="7"/>
  <c r="C74" i="7"/>
  <c r="M73" i="7"/>
  <c r="L73" i="7"/>
  <c r="K73" i="7"/>
  <c r="J73" i="7"/>
  <c r="I73" i="7"/>
  <c r="H73" i="7"/>
  <c r="G73" i="7"/>
  <c r="F73" i="7"/>
  <c r="E73" i="7"/>
  <c r="D73" i="7"/>
  <c r="C73" i="7"/>
  <c r="M72" i="7"/>
  <c r="L72" i="7"/>
  <c r="K72" i="7"/>
  <c r="J72" i="7"/>
  <c r="I72" i="7"/>
  <c r="H72" i="7"/>
  <c r="G72" i="7"/>
  <c r="F72" i="7"/>
  <c r="E72" i="7"/>
  <c r="D72" i="7"/>
  <c r="C72" i="7"/>
  <c r="M71" i="7"/>
  <c r="L71" i="7"/>
  <c r="K71" i="7"/>
  <c r="J71" i="7"/>
  <c r="I71" i="7"/>
  <c r="H71" i="7"/>
  <c r="G71" i="7"/>
  <c r="F71" i="7"/>
  <c r="E71" i="7"/>
  <c r="D71" i="7"/>
  <c r="C71" i="7"/>
  <c r="M70" i="7"/>
  <c r="L70" i="7"/>
  <c r="K70" i="7"/>
  <c r="J70" i="7"/>
  <c r="I70" i="7"/>
  <c r="H70" i="7"/>
  <c r="G70" i="7"/>
  <c r="F70" i="7"/>
  <c r="E70" i="7"/>
  <c r="D70" i="7"/>
  <c r="C70" i="7"/>
  <c r="M69" i="7"/>
  <c r="L69" i="7"/>
  <c r="K69" i="7"/>
  <c r="J69" i="7"/>
  <c r="I69" i="7"/>
  <c r="H69" i="7"/>
  <c r="G69" i="7"/>
  <c r="F69" i="7"/>
  <c r="E69" i="7"/>
  <c r="D69" i="7"/>
  <c r="C69" i="7"/>
  <c r="M68" i="7"/>
  <c r="L68" i="7"/>
  <c r="K68" i="7"/>
  <c r="J68" i="7"/>
  <c r="I68" i="7"/>
  <c r="H68" i="7"/>
  <c r="G68" i="7"/>
  <c r="F68" i="7"/>
  <c r="E68" i="7"/>
  <c r="D68" i="7"/>
  <c r="C68" i="7"/>
  <c r="M67" i="7"/>
  <c r="L67" i="7"/>
  <c r="K67" i="7"/>
  <c r="J67" i="7"/>
  <c r="I67" i="7"/>
  <c r="H67" i="7"/>
  <c r="G67" i="7"/>
  <c r="F67" i="7"/>
  <c r="E67" i="7"/>
  <c r="D67" i="7"/>
  <c r="C67" i="7"/>
  <c r="M66" i="7"/>
  <c r="L66" i="7"/>
  <c r="K66" i="7"/>
  <c r="J66" i="7"/>
  <c r="I66" i="7"/>
  <c r="H66" i="7"/>
  <c r="G66" i="7"/>
  <c r="F66" i="7"/>
  <c r="E66" i="7"/>
  <c r="D66" i="7"/>
  <c r="C66" i="7"/>
  <c r="M65" i="7"/>
  <c r="L65" i="7"/>
  <c r="K65" i="7"/>
  <c r="J65" i="7"/>
  <c r="I65" i="7"/>
  <c r="H65" i="7"/>
  <c r="G65" i="7"/>
  <c r="F65" i="7"/>
  <c r="E65" i="7"/>
  <c r="D65" i="7"/>
  <c r="C65" i="7"/>
  <c r="M64" i="7"/>
  <c r="L64" i="7"/>
  <c r="K64" i="7"/>
  <c r="J64" i="7"/>
  <c r="I64" i="7"/>
  <c r="H64" i="7"/>
  <c r="G64" i="7"/>
  <c r="F64" i="7"/>
  <c r="E64" i="7"/>
  <c r="D64" i="7"/>
  <c r="C64" i="7"/>
  <c r="M63" i="7"/>
  <c r="L63" i="7"/>
  <c r="K63" i="7"/>
  <c r="J63" i="7"/>
  <c r="I63" i="7"/>
  <c r="H63" i="7"/>
  <c r="G63" i="7"/>
  <c r="F63" i="7"/>
  <c r="E63" i="7"/>
  <c r="D63" i="7"/>
  <c r="C63" i="7"/>
  <c r="M62" i="7"/>
  <c r="L62" i="7"/>
  <c r="K62" i="7"/>
  <c r="J62" i="7"/>
  <c r="I62" i="7"/>
  <c r="H62" i="7"/>
  <c r="G62" i="7"/>
  <c r="F62" i="7"/>
  <c r="E62" i="7"/>
  <c r="D62" i="7"/>
  <c r="C62" i="7"/>
  <c r="M61" i="7"/>
  <c r="L61" i="7"/>
  <c r="K61" i="7"/>
  <c r="J61" i="7"/>
  <c r="I61" i="7"/>
  <c r="H61" i="7"/>
  <c r="G61" i="7"/>
  <c r="F61" i="7"/>
  <c r="E61" i="7"/>
  <c r="D61" i="7"/>
  <c r="C61" i="7"/>
  <c r="M60" i="7"/>
  <c r="L60" i="7"/>
  <c r="K60" i="7"/>
  <c r="J60" i="7"/>
  <c r="I60" i="7"/>
  <c r="H60" i="7"/>
  <c r="G60" i="7"/>
  <c r="F60" i="7"/>
  <c r="E60" i="7"/>
  <c r="D60" i="7"/>
  <c r="C60" i="7"/>
  <c r="M59" i="7"/>
  <c r="L59" i="7"/>
  <c r="K59" i="7"/>
  <c r="J59" i="7"/>
  <c r="I59" i="7"/>
  <c r="H59" i="7"/>
  <c r="G59" i="7"/>
  <c r="F59" i="7"/>
  <c r="E59" i="7"/>
  <c r="D59" i="7"/>
  <c r="C59" i="7"/>
  <c r="M58" i="7"/>
  <c r="L58" i="7"/>
  <c r="K58" i="7"/>
  <c r="J58" i="7"/>
  <c r="I58" i="7"/>
  <c r="H58" i="7"/>
  <c r="G58" i="7"/>
  <c r="F58" i="7"/>
  <c r="E58" i="7"/>
  <c r="D58" i="7"/>
  <c r="C58" i="7"/>
  <c r="M57" i="7"/>
  <c r="L57" i="7"/>
  <c r="K57" i="7"/>
  <c r="J57" i="7"/>
  <c r="I57" i="7"/>
  <c r="H57" i="7"/>
  <c r="G57" i="7"/>
  <c r="F57" i="7"/>
  <c r="E57" i="7"/>
  <c r="D57" i="7"/>
  <c r="C57" i="7"/>
  <c r="M56" i="7"/>
  <c r="L56" i="7"/>
  <c r="K56" i="7"/>
  <c r="J56" i="7"/>
  <c r="I56" i="7"/>
  <c r="H56" i="7"/>
  <c r="G56" i="7"/>
  <c r="F56" i="7"/>
  <c r="E56" i="7"/>
  <c r="D56" i="7"/>
  <c r="C56" i="7"/>
  <c r="M55" i="7"/>
  <c r="L55" i="7"/>
  <c r="K55" i="7"/>
  <c r="J55" i="7"/>
  <c r="I55" i="7"/>
  <c r="H55" i="7"/>
  <c r="G55" i="7"/>
  <c r="F55" i="7"/>
  <c r="E55" i="7"/>
  <c r="D55" i="7"/>
  <c r="C55" i="7"/>
  <c r="M54" i="7"/>
  <c r="L54" i="7"/>
  <c r="K54" i="7"/>
  <c r="J54" i="7"/>
  <c r="I54" i="7"/>
  <c r="H54" i="7"/>
  <c r="G54" i="7"/>
  <c r="F54" i="7"/>
  <c r="E54" i="7"/>
  <c r="D54" i="7"/>
  <c r="C54" i="7"/>
  <c r="M53" i="7"/>
  <c r="L53" i="7"/>
  <c r="K53" i="7"/>
  <c r="J53" i="7"/>
  <c r="I53" i="7"/>
  <c r="H53" i="7"/>
  <c r="G53" i="7"/>
  <c r="F53" i="7"/>
  <c r="E53" i="7"/>
  <c r="D53" i="7"/>
  <c r="C53" i="7"/>
  <c r="M52" i="7"/>
  <c r="L52" i="7"/>
  <c r="K52" i="7"/>
  <c r="J52" i="7"/>
  <c r="I52" i="7"/>
  <c r="H52" i="7"/>
  <c r="G52" i="7"/>
  <c r="F52" i="7"/>
  <c r="E52" i="7"/>
  <c r="D52" i="7"/>
  <c r="C52" i="7"/>
  <c r="M51" i="7"/>
  <c r="L51" i="7"/>
  <c r="K51" i="7"/>
  <c r="J51" i="7"/>
  <c r="I51" i="7"/>
  <c r="H51" i="7"/>
  <c r="G51" i="7"/>
  <c r="F51" i="7"/>
  <c r="E51" i="7"/>
  <c r="D51" i="7"/>
  <c r="C51" i="7"/>
  <c r="M50" i="7"/>
  <c r="L50" i="7"/>
  <c r="K50" i="7"/>
  <c r="J50" i="7"/>
  <c r="I50" i="7"/>
  <c r="H50" i="7"/>
  <c r="G50" i="7"/>
  <c r="F50" i="7"/>
  <c r="E50" i="7"/>
  <c r="D50" i="7"/>
  <c r="C50" i="7"/>
  <c r="M49" i="7"/>
  <c r="L49" i="7"/>
  <c r="K49" i="7"/>
  <c r="J49" i="7"/>
  <c r="I49" i="7"/>
  <c r="H49" i="7"/>
  <c r="G49" i="7"/>
  <c r="F49" i="7"/>
  <c r="E49" i="7"/>
  <c r="D49" i="7"/>
  <c r="C49" i="7"/>
  <c r="M48" i="7"/>
  <c r="L48" i="7"/>
  <c r="K48" i="7"/>
  <c r="J48" i="7"/>
  <c r="I48" i="7"/>
  <c r="H48" i="7"/>
  <c r="G48" i="7"/>
  <c r="F48" i="7"/>
  <c r="E48" i="7"/>
  <c r="D48" i="7"/>
  <c r="C48" i="7"/>
  <c r="M47" i="7"/>
  <c r="L47" i="7"/>
  <c r="K47" i="7"/>
  <c r="J47" i="7"/>
  <c r="I47" i="7"/>
  <c r="H47" i="7"/>
  <c r="G47" i="7"/>
  <c r="F47" i="7"/>
  <c r="E47" i="7"/>
  <c r="D47" i="7"/>
  <c r="C47" i="7"/>
  <c r="M46" i="7"/>
  <c r="L46" i="7"/>
  <c r="K46" i="7"/>
  <c r="J46" i="7"/>
  <c r="I46" i="7"/>
  <c r="H46" i="7"/>
  <c r="G46" i="7"/>
  <c r="F46" i="7"/>
  <c r="E46" i="7"/>
  <c r="D46" i="7"/>
  <c r="C46" i="7"/>
  <c r="M45" i="7"/>
  <c r="L45" i="7"/>
  <c r="K45" i="7"/>
  <c r="J45" i="7"/>
  <c r="I45" i="7"/>
  <c r="H45" i="7"/>
  <c r="G45" i="7"/>
  <c r="F45" i="7"/>
  <c r="E45" i="7"/>
  <c r="D45" i="7"/>
  <c r="C45" i="7"/>
  <c r="M44" i="7"/>
  <c r="L44" i="7"/>
  <c r="K44" i="7"/>
  <c r="J44" i="7"/>
  <c r="I44" i="7"/>
  <c r="H44" i="7"/>
  <c r="G44" i="7"/>
  <c r="F44" i="7"/>
  <c r="E44" i="7"/>
  <c r="D44" i="7"/>
  <c r="C44" i="7"/>
  <c r="M43" i="7"/>
  <c r="L43" i="7"/>
  <c r="K43" i="7"/>
  <c r="J43" i="7"/>
  <c r="I43" i="7"/>
  <c r="H43" i="7"/>
  <c r="G43" i="7"/>
  <c r="F43" i="7"/>
  <c r="E43" i="7"/>
  <c r="D43" i="7"/>
  <c r="C43" i="7"/>
  <c r="M42" i="7"/>
  <c r="L42" i="7"/>
  <c r="K42" i="7"/>
  <c r="J42" i="7"/>
  <c r="I42" i="7"/>
  <c r="H42" i="7"/>
  <c r="G42" i="7"/>
  <c r="F42" i="7"/>
  <c r="E42" i="7"/>
  <c r="D42" i="7"/>
  <c r="C42" i="7"/>
  <c r="M41" i="7"/>
  <c r="L41" i="7"/>
  <c r="K41" i="7"/>
  <c r="J41" i="7"/>
  <c r="I41" i="7"/>
  <c r="H41" i="7"/>
  <c r="G41" i="7"/>
  <c r="F41" i="7"/>
  <c r="E41" i="7"/>
  <c r="D41" i="7"/>
  <c r="C41" i="7"/>
  <c r="M40" i="7"/>
  <c r="L40" i="7"/>
  <c r="K40" i="7"/>
  <c r="J40" i="7"/>
  <c r="I40" i="7"/>
  <c r="H40" i="7"/>
  <c r="G40" i="7"/>
  <c r="F40" i="7"/>
  <c r="E40" i="7"/>
  <c r="D40" i="7"/>
  <c r="C40" i="7"/>
  <c r="M39" i="7"/>
  <c r="L39" i="7"/>
  <c r="K39" i="7"/>
  <c r="J39" i="7"/>
  <c r="I39" i="7"/>
  <c r="H39" i="7"/>
  <c r="G39" i="7"/>
  <c r="F39" i="7"/>
  <c r="E39" i="7"/>
  <c r="D39" i="7"/>
  <c r="C39" i="7"/>
  <c r="M38" i="7"/>
  <c r="L38" i="7"/>
  <c r="K38" i="7"/>
  <c r="J38" i="7"/>
  <c r="I38" i="7"/>
  <c r="H38" i="7"/>
  <c r="G38" i="7"/>
  <c r="F38" i="7"/>
  <c r="E38" i="7"/>
  <c r="D38" i="7"/>
  <c r="C38" i="7"/>
  <c r="M37" i="7"/>
  <c r="L37" i="7"/>
  <c r="K37" i="7"/>
  <c r="J37" i="7"/>
  <c r="I37" i="7"/>
  <c r="H37" i="7"/>
  <c r="G37" i="7"/>
  <c r="F37" i="7"/>
  <c r="E37" i="7"/>
  <c r="D37" i="7"/>
  <c r="C37" i="7"/>
  <c r="M36" i="7"/>
  <c r="L36" i="7"/>
  <c r="K36" i="7"/>
  <c r="J36" i="7"/>
  <c r="I36" i="7"/>
  <c r="H36" i="7"/>
  <c r="G36" i="7"/>
  <c r="F36" i="7"/>
  <c r="E36" i="7"/>
  <c r="D36" i="7"/>
  <c r="C36" i="7"/>
  <c r="M35" i="7"/>
  <c r="L35" i="7"/>
  <c r="K35" i="7"/>
  <c r="J35" i="7"/>
  <c r="I35" i="7"/>
  <c r="H35" i="7"/>
  <c r="G35" i="7"/>
  <c r="F35" i="7"/>
  <c r="E35" i="7"/>
  <c r="D35" i="7"/>
  <c r="C35" i="7"/>
  <c r="M34" i="7"/>
  <c r="L34" i="7"/>
  <c r="K34" i="7"/>
  <c r="J34" i="7"/>
  <c r="I34" i="7"/>
  <c r="H34" i="7"/>
  <c r="G34" i="7"/>
  <c r="F34" i="7"/>
  <c r="E34" i="7"/>
  <c r="D34" i="7"/>
  <c r="C34" i="7"/>
  <c r="M33" i="7"/>
  <c r="L33" i="7"/>
  <c r="K33" i="7"/>
  <c r="J33" i="7"/>
  <c r="I33" i="7"/>
  <c r="H33" i="7"/>
  <c r="G33" i="7"/>
  <c r="F33" i="7"/>
  <c r="E33" i="7"/>
  <c r="D33" i="7"/>
  <c r="C33" i="7"/>
  <c r="M32" i="7"/>
  <c r="L32" i="7"/>
  <c r="K32" i="7"/>
  <c r="J32" i="7"/>
  <c r="I32" i="7"/>
  <c r="H32" i="7"/>
  <c r="G32" i="7"/>
  <c r="F32" i="7"/>
  <c r="E32" i="7"/>
  <c r="D32" i="7"/>
  <c r="C32" i="7"/>
  <c r="M31" i="7"/>
  <c r="L31" i="7"/>
  <c r="K31" i="7"/>
  <c r="J31" i="7"/>
  <c r="I31" i="7"/>
  <c r="H31" i="7"/>
  <c r="G31" i="7"/>
  <c r="F31" i="7"/>
  <c r="E31" i="7"/>
  <c r="D31" i="7"/>
  <c r="C31" i="7"/>
  <c r="M30" i="7"/>
  <c r="L30" i="7"/>
  <c r="K30" i="7"/>
  <c r="J30" i="7"/>
  <c r="I30" i="7"/>
  <c r="H30" i="7"/>
  <c r="G30" i="7"/>
  <c r="F30" i="7"/>
  <c r="E30" i="7"/>
  <c r="D30" i="7"/>
  <c r="C30" i="7"/>
  <c r="M29" i="7"/>
  <c r="L29" i="7"/>
  <c r="K29" i="7"/>
  <c r="J29" i="7"/>
  <c r="I29" i="7"/>
  <c r="H29" i="7"/>
  <c r="G29" i="7"/>
  <c r="F29" i="7"/>
  <c r="E29" i="7"/>
  <c r="D29" i="7"/>
  <c r="C29" i="7"/>
  <c r="M28" i="7"/>
  <c r="L28" i="7"/>
  <c r="K28" i="7"/>
  <c r="J28" i="7"/>
  <c r="I28" i="7"/>
  <c r="H28" i="7"/>
  <c r="G28" i="7"/>
  <c r="F28" i="7"/>
  <c r="E28" i="7"/>
  <c r="D28" i="7"/>
  <c r="C28" i="7"/>
  <c r="M27" i="7"/>
  <c r="L27" i="7"/>
  <c r="K27" i="7"/>
  <c r="J27" i="7"/>
  <c r="I27" i="7"/>
  <c r="H27" i="7"/>
  <c r="G27" i="7"/>
  <c r="F27" i="7"/>
  <c r="E27" i="7"/>
  <c r="D27" i="7"/>
  <c r="C27" i="7"/>
  <c r="M26" i="7"/>
  <c r="L26" i="7"/>
  <c r="K26" i="7"/>
  <c r="J26" i="7"/>
  <c r="I26" i="7"/>
  <c r="H26" i="7"/>
  <c r="G26" i="7"/>
  <c r="F26" i="7"/>
  <c r="E26" i="7"/>
  <c r="D26" i="7"/>
  <c r="C26" i="7"/>
  <c r="M25" i="7"/>
  <c r="L25" i="7"/>
  <c r="K25" i="7"/>
  <c r="J25" i="7"/>
  <c r="I25" i="7"/>
  <c r="H25" i="7"/>
  <c r="G25" i="7"/>
  <c r="F25" i="7"/>
  <c r="E25" i="7"/>
  <c r="D25" i="7"/>
  <c r="C25" i="7"/>
  <c r="M24" i="7"/>
  <c r="L24" i="7"/>
  <c r="K24" i="7"/>
  <c r="J24" i="7"/>
  <c r="I24" i="7"/>
  <c r="H24" i="7"/>
  <c r="G24" i="7"/>
  <c r="F24" i="7"/>
  <c r="E24" i="7"/>
  <c r="D24" i="7"/>
  <c r="C24" i="7"/>
  <c r="M23" i="7"/>
  <c r="L23" i="7"/>
  <c r="K23" i="7"/>
  <c r="J23" i="7"/>
  <c r="I23" i="7"/>
  <c r="H23" i="7"/>
  <c r="G23" i="7"/>
  <c r="F23" i="7"/>
  <c r="E23" i="7"/>
  <c r="D23" i="7"/>
  <c r="C23" i="7"/>
  <c r="M22" i="7"/>
  <c r="L22" i="7"/>
  <c r="K22" i="7"/>
  <c r="J22" i="7"/>
  <c r="I22" i="7"/>
  <c r="H22" i="7"/>
  <c r="G22" i="7"/>
  <c r="F22" i="7"/>
  <c r="E22" i="7"/>
  <c r="D22" i="7"/>
  <c r="C22" i="7"/>
  <c r="M21" i="7"/>
  <c r="L21" i="7"/>
  <c r="K21" i="7"/>
  <c r="J21" i="7"/>
  <c r="I21" i="7"/>
  <c r="H21" i="7"/>
  <c r="G21" i="7"/>
  <c r="F21" i="7"/>
  <c r="E21" i="7"/>
  <c r="D21" i="7"/>
  <c r="C21" i="7"/>
  <c r="M20" i="7"/>
  <c r="L20" i="7"/>
  <c r="K20" i="7"/>
  <c r="J20" i="7"/>
  <c r="I20" i="7"/>
  <c r="H20" i="7"/>
  <c r="G20" i="7"/>
  <c r="F20" i="7"/>
  <c r="E20" i="7"/>
  <c r="D20" i="7"/>
  <c r="C20" i="7"/>
  <c r="M19" i="7"/>
  <c r="L19" i="7"/>
  <c r="K19" i="7"/>
  <c r="J19" i="7"/>
  <c r="I19" i="7"/>
  <c r="H19" i="7"/>
  <c r="G19" i="7"/>
  <c r="F19" i="7"/>
  <c r="E19" i="7"/>
  <c r="D19" i="7"/>
  <c r="C19" i="7"/>
  <c r="M18" i="7"/>
  <c r="L18" i="7"/>
  <c r="K18" i="7"/>
  <c r="J18" i="7"/>
  <c r="I18" i="7"/>
  <c r="H18" i="7"/>
  <c r="G18" i="7"/>
  <c r="F18" i="7"/>
  <c r="E18" i="7"/>
  <c r="D18" i="7"/>
  <c r="C18" i="7"/>
  <c r="M17" i="7"/>
  <c r="L17" i="7"/>
  <c r="K17" i="7"/>
  <c r="J17" i="7"/>
  <c r="I17" i="7"/>
  <c r="H17" i="7"/>
  <c r="G17" i="7"/>
  <c r="F17" i="7"/>
  <c r="E17" i="7"/>
  <c r="D17" i="7"/>
  <c r="C17" i="7"/>
  <c r="M16" i="7"/>
  <c r="L16" i="7"/>
  <c r="K16" i="7"/>
  <c r="J16" i="7"/>
  <c r="I16" i="7"/>
  <c r="H16" i="7"/>
  <c r="G16" i="7"/>
  <c r="F16" i="7"/>
  <c r="E16" i="7"/>
  <c r="D16" i="7"/>
  <c r="C16" i="7"/>
  <c r="M15" i="7"/>
  <c r="L15" i="7"/>
  <c r="K15" i="7"/>
  <c r="J15" i="7"/>
  <c r="I15" i="7"/>
  <c r="H15" i="7"/>
  <c r="G15" i="7"/>
  <c r="F15" i="7"/>
  <c r="E15" i="7"/>
  <c r="D15" i="7"/>
  <c r="C15" i="7"/>
  <c r="M14" i="7"/>
  <c r="L14" i="7"/>
  <c r="K14" i="7"/>
  <c r="J14" i="7"/>
  <c r="I14" i="7"/>
  <c r="H14" i="7"/>
  <c r="G14" i="7"/>
  <c r="F14" i="7"/>
  <c r="E14" i="7"/>
  <c r="D14" i="7"/>
  <c r="C14" i="7"/>
  <c r="M13" i="7"/>
  <c r="L13" i="7"/>
  <c r="K13" i="7"/>
  <c r="J13" i="7"/>
  <c r="I13" i="7"/>
  <c r="H13" i="7"/>
  <c r="G13" i="7"/>
  <c r="F13" i="7"/>
  <c r="E13" i="7"/>
  <c r="D13" i="7"/>
  <c r="C13" i="7"/>
  <c r="M12" i="7"/>
  <c r="L12" i="7"/>
  <c r="K12" i="7"/>
  <c r="J12" i="7"/>
  <c r="I12" i="7"/>
  <c r="H12" i="7"/>
  <c r="G12" i="7"/>
  <c r="F12" i="7"/>
  <c r="E12" i="7"/>
  <c r="D12" i="7"/>
  <c r="C12" i="7"/>
  <c r="M11" i="7"/>
  <c r="L11" i="7"/>
  <c r="K11" i="7"/>
  <c r="J11" i="7"/>
  <c r="I11" i="7"/>
  <c r="H11" i="7"/>
  <c r="G11" i="7"/>
  <c r="F11" i="7"/>
  <c r="E11" i="7"/>
  <c r="D11" i="7"/>
  <c r="C11" i="7"/>
  <c r="M10" i="7"/>
  <c r="L10" i="7"/>
  <c r="K10" i="7"/>
  <c r="J10" i="7"/>
  <c r="I10" i="7"/>
  <c r="H10" i="7"/>
  <c r="G10" i="7"/>
  <c r="F10" i="7"/>
  <c r="E10" i="7"/>
  <c r="D10" i="7"/>
  <c r="C10" i="7"/>
  <c r="M9" i="7"/>
  <c r="L9" i="7"/>
  <c r="K9" i="7"/>
  <c r="J9" i="7"/>
  <c r="I9" i="7"/>
  <c r="H9" i="7"/>
  <c r="G9" i="7"/>
  <c r="F9" i="7"/>
  <c r="E9" i="7"/>
  <c r="D9" i="7"/>
  <c r="C9" i="7"/>
  <c r="M8" i="7"/>
  <c r="L8" i="7"/>
  <c r="K8" i="7"/>
  <c r="J8" i="7"/>
  <c r="I8" i="7"/>
  <c r="H8" i="7"/>
  <c r="G8" i="7"/>
  <c r="F8" i="7"/>
  <c r="E8" i="7"/>
  <c r="D8" i="7"/>
  <c r="C8" i="7"/>
  <c r="M7" i="7"/>
  <c r="L7" i="7"/>
  <c r="K7" i="7"/>
  <c r="J7" i="7"/>
  <c r="I7" i="7"/>
  <c r="H7" i="7"/>
  <c r="G7" i="7"/>
  <c r="F7" i="7"/>
  <c r="E7" i="7"/>
  <c r="D7" i="7"/>
  <c r="C7" i="7"/>
  <c r="M6" i="7"/>
  <c r="L6" i="7"/>
  <c r="K6" i="7"/>
  <c r="J6" i="7"/>
  <c r="I6" i="7"/>
  <c r="H6" i="7"/>
  <c r="G6" i="7"/>
  <c r="F6" i="7"/>
  <c r="E6" i="7"/>
  <c r="D6" i="7"/>
  <c r="C6" i="7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2" i="6"/>
  <c r="C3" i="6" s="1"/>
  <c r="C4" i="6" s="1"/>
  <c r="C5" i="6" s="1"/>
  <c r="C6" i="6" s="1"/>
  <c r="C7" i="6" s="1"/>
  <c r="C8" i="6" s="1"/>
  <c r="C9" i="6" s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D3" i="6"/>
  <c r="K199" i="6"/>
  <c r="G199" i="6"/>
  <c r="H198" i="6"/>
  <c r="D198" i="6"/>
  <c r="I197" i="6"/>
  <c r="E197" i="6"/>
  <c r="J196" i="6"/>
  <c r="F196" i="6"/>
  <c r="K195" i="6"/>
  <c r="G195" i="6"/>
  <c r="H194" i="6"/>
  <c r="D194" i="6"/>
  <c r="I193" i="6"/>
  <c r="E193" i="6"/>
  <c r="J192" i="6"/>
  <c r="F192" i="6"/>
  <c r="K191" i="6"/>
  <c r="G191" i="6"/>
  <c r="H190" i="6"/>
  <c r="D190" i="6"/>
  <c r="I189" i="6"/>
  <c r="E189" i="6"/>
  <c r="J188" i="6"/>
  <c r="F188" i="6"/>
  <c r="K187" i="6"/>
  <c r="G187" i="6"/>
  <c r="H186" i="6"/>
  <c r="D186" i="6"/>
  <c r="I185" i="6"/>
  <c r="E185" i="6"/>
  <c r="J184" i="6"/>
  <c r="F184" i="6"/>
  <c r="K183" i="6"/>
  <c r="G183" i="6"/>
  <c r="H182" i="6"/>
  <c r="D182" i="6"/>
  <c r="I181" i="6"/>
  <c r="E181" i="6"/>
  <c r="J180" i="6"/>
  <c r="F180" i="6"/>
  <c r="K179" i="6"/>
  <c r="G179" i="6"/>
  <c r="H178" i="6"/>
  <c r="D178" i="6"/>
  <c r="I177" i="6"/>
  <c r="E177" i="6"/>
  <c r="J176" i="6"/>
  <c r="F176" i="6"/>
  <c r="K175" i="6"/>
  <c r="G175" i="6"/>
  <c r="H174" i="6"/>
  <c r="D174" i="6"/>
  <c r="I173" i="6"/>
  <c r="E173" i="6"/>
  <c r="J172" i="6"/>
  <c r="F172" i="6"/>
  <c r="K171" i="6"/>
  <c r="G171" i="6"/>
  <c r="H170" i="6"/>
  <c r="D170" i="6"/>
  <c r="I169" i="6"/>
  <c r="E169" i="6"/>
  <c r="J168" i="6"/>
  <c r="F168" i="6"/>
  <c r="K167" i="6"/>
  <c r="G167" i="6"/>
  <c r="H166" i="6"/>
  <c r="D166" i="6"/>
  <c r="I165" i="6"/>
  <c r="E165" i="6"/>
  <c r="J164" i="6"/>
  <c r="F164" i="6"/>
  <c r="K163" i="6"/>
  <c r="G163" i="6"/>
  <c r="H162" i="6"/>
  <c r="D162" i="6"/>
  <c r="I161" i="6"/>
  <c r="E161" i="6"/>
  <c r="J160" i="6"/>
  <c r="F160" i="6"/>
  <c r="K159" i="6"/>
  <c r="G159" i="6"/>
  <c r="H158" i="6"/>
  <c r="D158" i="6"/>
  <c r="I157" i="6"/>
  <c r="E157" i="6"/>
  <c r="J156" i="6"/>
  <c r="F156" i="6"/>
  <c r="K155" i="6"/>
  <c r="G155" i="6"/>
  <c r="H154" i="6"/>
  <c r="D154" i="6"/>
  <c r="I153" i="6"/>
  <c r="E153" i="6"/>
  <c r="J152" i="6"/>
  <c r="F152" i="6"/>
  <c r="K151" i="6"/>
  <c r="G151" i="6"/>
  <c r="H150" i="6"/>
  <c r="D150" i="6"/>
  <c r="I149" i="6"/>
  <c r="E149" i="6"/>
  <c r="J148" i="6"/>
  <c r="F148" i="6"/>
  <c r="K147" i="6"/>
  <c r="G147" i="6"/>
  <c r="H146" i="6"/>
  <c r="D146" i="6"/>
  <c r="I145" i="6"/>
  <c r="E145" i="6"/>
  <c r="J144" i="6"/>
  <c r="F144" i="6"/>
  <c r="K143" i="6"/>
  <c r="G143" i="6"/>
  <c r="H142" i="6"/>
  <c r="D142" i="6"/>
  <c r="I141" i="6"/>
  <c r="E141" i="6"/>
  <c r="J140" i="6"/>
  <c r="F140" i="6"/>
  <c r="K139" i="6"/>
  <c r="G139" i="6"/>
  <c r="H138" i="6"/>
  <c r="D138" i="6"/>
  <c r="I137" i="6"/>
  <c r="E137" i="6"/>
  <c r="J136" i="6"/>
  <c r="J199" i="6"/>
  <c r="F199" i="6"/>
  <c r="K198" i="6"/>
  <c r="G198" i="6"/>
  <c r="H197" i="6"/>
  <c r="D197" i="6"/>
  <c r="I196" i="6"/>
  <c r="E196" i="6"/>
  <c r="J195" i="6"/>
  <c r="F195" i="6"/>
  <c r="K194" i="6"/>
  <c r="G194" i="6"/>
  <c r="H193" i="6"/>
  <c r="D193" i="6"/>
  <c r="I192" i="6"/>
  <c r="E192" i="6"/>
  <c r="J191" i="6"/>
  <c r="F191" i="6"/>
  <c r="K190" i="6"/>
  <c r="G190" i="6"/>
  <c r="H189" i="6"/>
  <c r="D189" i="6"/>
  <c r="I188" i="6"/>
  <c r="E188" i="6"/>
  <c r="J187" i="6"/>
  <c r="F187" i="6"/>
  <c r="K186" i="6"/>
  <c r="G186" i="6"/>
  <c r="H185" i="6"/>
  <c r="D185" i="6"/>
  <c r="I184" i="6"/>
  <c r="E184" i="6"/>
  <c r="J183" i="6"/>
  <c r="F183" i="6"/>
  <c r="K182" i="6"/>
  <c r="G182" i="6"/>
  <c r="H181" i="6"/>
  <c r="D181" i="6"/>
  <c r="I180" i="6"/>
  <c r="E180" i="6"/>
  <c r="J179" i="6"/>
  <c r="F179" i="6"/>
  <c r="K178" i="6"/>
  <c r="G178" i="6"/>
  <c r="H177" i="6"/>
  <c r="D177" i="6"/>
  <c r="I176" i="6"/>
  <c r="E176" i="6"/>
  <c r="J175" i="6"/>
  <c r="F175" i="6"/>
  <c r="K174" i="6"/>
  <c r="G174" i="6"/>
  <c r="H173" i="6"/>
  <c r="D173" i="6"/>
  <c r="I172" i="6"/>
  <c r="E172" i="6"/>
  <c r="J171" i="6"/>
  <c r="F171" i="6"/>
  <c r="K170" i="6"/>
  <c r="G170" i="6"/>
  <c r="H169" i="6"/>
  <c r="D169" i="6"/>
  <c r="I168" i="6"/>
  <c r="E168" i="6"/>
  <c r="J167" i="6"/>
  <c r="F167" i="6"/>
  <c r="K166" i="6"/>
  <c r="G166" i="6"/>
  <c r="H165" i="6"/>
  <c r="D165" i="6"/>
  <c r="I164" i="6"/>
  <c r="E164" i="6"/>
  <c r="J163" i="6"/>
  <c r="F163" i="6"/>
  <c r="K162" i="6"/>
  <c r="G162" i="6"/>
  <c r="H161" i="6"/>
  <c r="D161" i="6"/>
  <c r="I160" i="6"/>
  <c r="E160" i="6"/>
  <c r="J159" i="6"/>
  <c r="F159" i="6"/>
  <c r="K158" i="6"/>
  <c r="G158" i="6"/>
  <c r="H157" i="6"/>
  <c r="D157" i="6"/>
  <c r="I156" i="6"/>
  <c r="E156" i="6"/>
  <c r="J155" i="6"/>
  <c r="F155" i="6"/>
  <c r="K154" i="6"/>
  <c r="G154" i="6"/>
  <c r="H153" i="6"/>
  <c r="D153" i="6"/>
  <c r="I152" i="6"/>
  <c r="E152" i="6"/>
  <c r="J151" i="6"/>
  <c r="F151" i="6"/>
  <c r="K150" i="6"/>
  <c r="G150" i="6"/>
  <c r="H149" i="6"/>
  <c r="D149" i="6"/>
  <c r="I148" i="6"/>
  <c r="E148" i="6"/>
  <c r="J147" i="6"/>
  <c r="F147" i="6"/>
  <c r="K146" i="6"/>
  <c r="G146" i="6"/>
  <c r="H145" i="6"/>
  <c r="D145" i="6"/>
  <c r="I144" i="6"/>
  <c r="E144" i="6"/>
  <c r="J143" i="6"/>
  <c r="F143" i="6"/>
  <c r="K142" i="6"/>
  <c r="G142" i="6"/>
  <c r="H141" i="6"/>
  <c r="D141" i="6"/>
  <c r="I140" i="6"/>
  <c r="E140" i="6"/>
  <c r="J139" i="6"/>
  <c r="F139" i="6"/>
  <c r="K138" i="6"/>
  <c r="G138" i="6"/>
  <c r="H137" i="6"/>
  <c r="D137" i="6"/>
  <c r="I136" i="6"/>
  <c r="I199" i="6"/>
  <c r="E198" i="6"/>
  <c r="G197" i="6"/>
  <c r="H196" i="6"/>
  <c r="I195" i="6"/>
  <c r="E194" i="6"/>
  <c r="G193" i="6"/>
  <c r="H192" i="6"/>
  <c r="I191" i="6"/>
  <c r="E190" i="6"/>
  <c r="G189" i="6"/>
  <c r="H188" i="6"/>
  <c r="I187" i="6"/>
  <c r="E186" i="6"/>
  <c r="G185" i="6"/>
  <c r="H184" i="6"/>
  <c r="I183" i="6"/>
  <c r="E182" i="6"/>
  <c r="G181" i="6"/>
  <c r="H180" i="6"/>
  <c r="I179" i="6"/>
  <c r="E178" i="6"/>
  <c r="G177" i="6"/>
  <c r="H176" i="6"/>
  <c r="I175" i="6"/>
  <c r="E174" i="6"/>
  <c r="G173" i="6"/>
  <c r="H172" i="6"/>
  <c r="I171" i="6"/>
  <c r="E170" i="6"/>
  <c r="G169" i="6"/>
  <c r="H168" i="6"/>
  <c r="I167" i="6"/>
  <c r="E166" i="6"/>
  <c r="G165" i="6"/>
  <c r="H164" i="6"/>
  <c r="I163" i="6"/>
  <c r="E162" i="6"/>
  <c r="G161" i="6"/>
  <c r="H160" i="6"/>
  <c r="I159" i="6"/>
  <c r="E158" i="6"/>
  <c r="G157" i="6"/>
  <c r="H156" i="6"/>
  <c r="I155" i="6"/>
  <c r="E154" i="6"/>
  <c r="G153" i="6"/>
  <c r="H152" i="6"/>
  <c r="I151" i="6"/>
  <c r="E150" i="6"/>
  <c r="G149" i="6"/>
  <c r="H148" i="6"/>
  <c r="I147" i="6"/>
  <c r="E146" i="6"/>
  <c r="G145" i="6"/>
  <c r="H144" i="6"/>
  <c r="I143" i="6"/>
  <c r="E142" i="6"/>
  <c r="G141" i="6"/>
  <c r="H140" i="6"/>
  <c r="I139" i="6"/>
  <c r="E138" i="6"/>
  <c r="G137" i="6"/>
  <c r="H136" i="6"/>
  <c r="D136" i="6"/>
  <c r="I135" i="6"/>
  <c r="E135" i="6"/>
  <c r="J134" i="6"/>
  <c r="F134" i="6"/>
  <c r="K133" i="6"/>
  <c r="G133" i="6"/>
  <c r="H132" i="6"/>
  <c r="D132" i="6"/>
  <c r="I131" i="6"/>
  <c r="E131" i="6"/>
  <c r="J130" i="6"/>
  <c r="F130" i="6"/>
  <c r="K129" i="6"/>
  <c r="G129" i="6"/>
  <c r="H128" i="6"/>
  <c r="D128" i="6"/>
  <c r="I127" i="6"/>
  <c r="E127" i="6"/>
  <c r="J126" i="6"/>
  <c r="F126" i="6"/>
  <c r="K125" i="6"/>
  <c r="G125" i="6"/>
  <c r="H124" i="6"/>
  <c r="D124" i="6"/>
  <c r="I123" i="6"/>
  <c r="E123" i="6"/>
  <c r="J122" i="6"/>
  <c r="F122" i="6"/>
  <c r="K121" i="6"/>
  <c r="G121" i="6"/>
  <c r="H120" i="6"/>
  <c r="D120" i="6"/>
  <c r="I119" i="6"/>
  <c r="E119" i="6"/>
  <c r="J118" i="6"/>
  <c r="F118" i="6"/>
  <c r="K117" i="6"/>
  <c r="G117" i="6"/>
  <c r="H116" i="6"/>
  <c r="D116" i="6"/>
  <c r="I115" i="6"/>
  <c r="E115" i="6"/>
  <c r="J114" i="6"/>
  <c r="F114" i="6"/>
  <c r="K113" i="6"/>
  <c r="G113" i="6"/>
  <c r="H112" i="6"/>
  <c r="D112" i="6"/>
  <c r="I111" i="6"/>
  <c r="E111" i="6"/>
  <c r="J110" i="6"/>
  <c r="F110" i="6"/>
  <c r="K109" i="6"/>
  <c r="G109" i="6"/>
  <c r="H108" i="6"/>
  <c r="D108" i="6"/>
  <c r="I107" i="6"/>
  <c r="E107" i="6"/>
  <c r="J106" i="6"/>
  <c r="F106" i="6"/>
  <c r="K105" i="6"/>
  <c r="G105" i="6"/>
  <c r="H104" i="6"/>
  <c r="D104" i="6"/>
  <c r="I103" i="6"/>
  <c r="E103" i="6"/>
  <c r="J102" i="6"/>
  <c r="F102" i="6"/>
  <c r="K101" i="6"/>
  <c r="G101" i="6"/>
  <c r="H100" i="6"/>
  <c r="D100" i="6"/>
  <c r="I99" i="6"/>
  <c r="E99" i="6"/>
  <c r="J98" i="6"/>
  <c r="F98" i="6"/>
  <c r="K97" i="6"/>
  <c r="G97" i="6"/>
  <c r="H96" i="6"/>
  <c r="D96" i="6"/>
  <c r="I95" i="6"/>
  <c r="E95" i="6"/>
  <c r="J94" i="6"/>
  <c r="F94" i="6"/>
  <c r="K93" i="6"/>
  <c r="G93" i="6"/>
  <c r="H92" i="6"/>
  <c r="D92" i="6"/>
  <c r="I91" i="6"/>
  <c r="E91" i="6"/>
  <c r="J90" i="6"/>
  <c r="F90" i="6"/>
  <c r="K89" i="6"/>
  <c r="G89" i="6"/>
  <c r="H88" i="6"/>
  <c r="D88" i="6"/>
  <c r="I87" i="6"/>
  <c r="E87" i="6"/>
  <c r="J86" i="6"/>
  <c r="F86" i="6"/>
  <c r="K85" i="6"/>
  <c r="G85" i="6"/>
  <c r="H84" i="6"/>
  <c r="D84" i="6"/>
  <c r="I83" i="6"/>
  <c r="E83" i="6"/>
  <c r="J82" i="6"/>
  <c r="F82" i="6"/>
  <c r="K81" i="6"/>
  <c r="G81" i="6"/>
  <c r="H80" i="6"/>
  <c r="D80" i="6"/>
  <c r="I79" i="6"/>
  <c r="E79" i="6"/>
  <c r="J78" i="6"/>
  <c r="F78" i="6"/>
  <c r="K77" i="6"/>
  <c r="G77" i="6"/>
  <c r="H76" i="6"/>
  <c r="D76" i="6"/>
  <c r="I75" i="6"/>
  <c r="E75" i="6"/>
  <c r="J74" i="6"/>
  <c r="F74" i="6"/>
  <c r="K73" i="6"/>
  <c r="G73" i="6"/>
  <c r="H72" i="6"/>
  <c r="D72" i="6"/>
  <c r="I71" i="6"/>
  <c r="E71" i="6"/>
  <c r="J70" i="6"/>
  <c r="F70" i="6"/>
  <c r="K69" i="6"/>
  <c r="G69" i="6"/>
  <c r="H68" i="6"/>
  <c r="D68" i="6"/>
  <c r="I67" i="6"/>
  <c r="E67" i="6"/>
  <c r="J66" i="6"/>
  <c r="F66" i="6"/>
  <c r="K65" i="6"/>
  <c r="G65" i="6"/>
  <c r="H64" i="6"/>
  <c r="D64" i="6"/>
  <c r="I63" i="6"/>
  <c r="E63" i="6"/>
  <c r="J62" i="6"/>
  <c r="F62" i="6"/>
  <c r="K61" i="6"/>
  <c r="G61" i="6"/>
  <c r="H60" i="6"/>
  <c r="D60" i="6"/>
  <c r="I59" i="6"/>
  <c r="E59" i="6"/>
  <c r="J58" i="6"/>
  <c r="F58" i="6"/>
  <c r="K57" i="6"/>
  <c r="G57" i="6"/>
  <c r="H56" i="6"/>
  <c r="D56" i="6"/>
  <c r="I55" i="6"/>
  <c r="E55" i="6"/>
  <c r="J54" i="6"/>
  <c r="F54" i="6"/>
  <c r="K53" i="6"/>
  <c r="G53" i="6"/>
  <c r="H52" i="6"/>
  <c r="D52" i="6"/>
  <c r="I51" i="6"/>
  <c r="E51" i="6"/>
  <c r="J50" i="6"/>
  <c r="F50" i="6"/>
  <c r="K49" i="6"/>
  <c r="G49" i="6"/>
  <c r="H48" i="6"/>
  <c r="D48" i="6"/>
  <c r="I47" i="6"/>
  <c r="E47" i="6"/>
  <c r="J46" i="6"/>
  <c r="F46" i="6"/>
  <c r="K45" i="6"/>
  <c r="G45" i="6"/>
  <c r="H44" i="6"/>
  <c r="D44" i="6"/>
  <c r="I43" i="6"/>
  <c r="E43" i="6"/>
  <c r="J42" i="6"/>
  <c r="F42" i="6"/>
  <c r="K41" i="6"/>
  <c r="G41" i="6"/>
  <c r="H199" i="6"/>
  <c r="J198" i="6"/>
  <c r="F197" i="6"/>
  <c r="G196" i="6"/>
  <c r="H195" i="6"/>
  <c r="J194" i="6"/>
  <c r="F193" i="6"/>
  <c r="G192" i="6"/>
  <c r="H191" i="6"/>
  <c r="J190" i="6"/>
  <c r="F189" i="6"/>
  <c r="G188" i="6"/>
  <c r="H187" i="6"/>
  <c r="J186" i="6"/>
  <c r="F185" i="6"/>
  <c r="G184" i="6"/>
  <c r="H183" i="6"/>
  <c r="J182" i="6"/>
  <c r="F181" i="6"/>
  <c r="G180" i="6"/>
  <c r="H179" i="6"/>
  <c r="J178" i="6"/>
  <c r="F177" i="6"/>
  <c r="G176" i="6"/>
  <c r="H175" i="6"/>
  <c r="J174" i="6"/>
  <c r="F173" i="6"/>
  <c r="G172" i="6"/>
  <c r="H171" i="6"/>
  <c r="J170" i="6"/>
  <c r="F169" i="6"/>
  <c r="G168" i="6"/>
  <c r="H167" i="6"/>
  <c r="J166" i="6"/>
  <c r="F165" i="6"/>
  <c r="G164" i="6"/>
  <c r="H163" i="6"/>
  <c r="J162" i="6"/>
  <c r="F161" i="6"/>
  <c r="G160" i="6"/>
  <c r="H159" i="6"/>
  <c r="J158" i="6"/>
  <c r="F157" i="6"/>
  <c r="G156" i="6"/>
  <c r="H155" i="6"/>
  <c r="J154" i="6"/>
  <c r="F153" i="6"/>
  <c r="G152" i="6"/>
  <c r="H151" i="6"/>
  <c r="J150" i="6"/>
  <c r="F149" i="6"/>
  <c r="G148" i="6"/>
  <c r="H147" i="6"/>
  <c r="J146" i="6"/>
  <c r="F145" i="6"/>
  <c r="G144" i="6"/>
  <c r="H143" i="6"/>
  <c r="J142" i="6"/>
  <c r="F141" i="6"/>
  <c r="G140" i="6"/>
  <c r="H139" i="6"/>
  <c r="J138" i="6"/>
  <c r="F137" i="6"/>
  <c r="G136" i="6"/>
  <c r="H135" i="6"/>
  <c r="D135" i="6"/>
  <c r="I134" i="6"/>
  <c r="E134" i="6"/>
  <c r="J133" i="6"/>
  <c r="F133" i="6"/>
  <c r="K132" i="6"/>
  <c r="G132" i="6"/>
  <c r="H131" i="6"/>
  <c r="D131" i="6"/>
  <c r="I130" i="6"/>
  <c r="E130" i="6"/>
  <c r="J129" i="6"/>
  <c r="F129" i="6"/>
  <c r="K128" i="6"/>
  <c r="G128" i="6"/>
  <c r="H127" i="6"/>
  <c r="D127" i="6"/>
  <c r="I126" i="6"/>
  <c r="E126" i="6"/>
  <c r="J125" i="6"/>
  <c r="F125" i="6"/>
  <c r="K124" i="6"/>
  <c r="G124" i="6"/>
  <c r="H123" i="6"/>
  <c r="D123" i="6"/>
  <c r="I122" i="6"/>
  <c r="E122" i="6"/>
  <c r="J121" i="6"/>
  <c r="F121" i="6"/>
  <c r="K120" i="6"/>
  <c r="G120" i="6"/>
  <c r="H119" i="6"/>
  <c r="D119" i="6"/>
  <c r="I118" i="6"/>
  <c r="E118" i="6"/>
  <c r="J117" i="6"/>
  <c r="F117" i="6"/>
  <c r="K116" i="6"/>
  <c r="G116" i="6"/>
  <c r="H115" i="6"/>
  <c r="D115" i="6"/>
  <c r="I114" i="6"/>
  <c r="E114" i="6"/>
  <c r="J113" i="6"/>
  <c r="F113" i="6"/>
  <c r="K112" i="6"/>
  <c r="G112" i="6"/>
  <c r="H111" i="6"/>
  <c r="D111" i="6"/>
  <c r="I110" i="6"/>
  <c r="E110" i="6"/>
  <c r="J109" i="6"/>
  <c r="F109" i="6"/>
  <c r="K108" i="6"/>
  <c r="G108" i="6"/>
  <c r="H107" i="6"/>
  <c r="D107" i="6"/>
  <c r="I106" i="6"/>
  <c r="E106" i="6"/>
  <c r="J105" i="6"/>
  <c r="F105" i="6"/>
  <c r="K104" i="6"/>
  <c r="G104" i="6"/>
  <c r="H103" i="6"/>
  <c r="D103" i="6"/>
  <c r="I102" i="6"/>
  <c r="E102" i="6"/>
  <c r="J101" i="6"/>
  <c r="F101" i="6"/>
  <c r="K100" i="6"/>
  <c r="G100" i="6"/>
  <c r="H99" i="6"/>
  <c r="D99" i="6"/>
  <c r="I98" i="6"/>
  <c r="E98" i="6"/>
  <c r="J97" i="6"/>
  <c r="F97" i="6"/>
  <c r="K96" i="6"/>
  <c r="G96" i="6"/>
  <c r="H95" i="6"/>
  <c r="D95" i="6"/>
  <c r="I94" i="6"/>
  <c r="E94" i="6"/>
  <c r="J93" i="6"/>
  <c r="F93" i="6"/>
  <c r="K92" i="6"/>
  <c r="G92" i="6"/>
  <c r="H91" i="6"/>
  <c r="D91" i="6"/>
  <c r="I90" i="6"/>
  <c r="E90" i="6"/>
  <c r="J89" i="6"/>
  <c r="F89" i="6"/>
  <c r="K88" i="6"/>
  <c r="G88" i="6"/>
  <c r="H87" i="6"/>
  <c r="D87" i="6"/>
  <c r="I86" i="6"/>
  <c r="E86" i="6"/>
  <c r="J85" i="6"/>
  <c r="F85" i="6"/>
  <c r="K84" i="6"/>
  <c r="G84" i="6"/>
  <c r="H83" i="6"/>
  <c r="D83" i="6"/>
  <c r="I82" i="6"/>
  <c r="E82" i="6"/>
  <c r="J81" i="6"/>
  <c r="F81" i="6"/>
  <c r="K80" i="6"/>
  <c r="G80" i="6"/>
  <c r="H79" i="6"/>
  <c r="D79" i="6"/>
  <c r="I78" i="6"/>
  <c r="E78" i="6"/>
  <c r="J77" i="6"/>
  <c r="F77" i="6"/>
  <c r="K76" i="6"/>
  <c r="G76" i="6"/>
  <c r="H75" i="6"/>
  <c r="D75" i="6"/>
  <c r="I74" i="6"/>
  <c r="E74" i="6"/>
  <c r="J73" i="6"/>
  <c r="F73" i="6"/>
  <c r="K72" i="6"/>
  <c r="G72" i="6"/>
  <c r="H71" i="6"/>
  <c r="D71" i="6"/>
  <c r="I70" i="6"/>
  <c r="E70" i="6"/>
  <c r="J69" i="6"/>
  <c r="F69" i="6"/>
  <c r="K68" i="6"/>
  <c r="G68" i="6"/>
  <c r="H67" i="6"/>
  <c r="D67" i="6"/>
  <c r="I66" i="6"/>
  <c r="E66" i="6"/>
  <c r="J65" i="6"/>
  <c r="F65" i="6"/>
  <c r="K64" i="6"/>
  <c r="G64" i="6"/>
  <c r="H63" i="6"/>
  <c r="D63" i="6"/>
  <c r="I62" i="6"/>
  <c r="E62" i="6"/>
  <c r="J61" i="6"/>
  <c r="F61" i="6"/>
  <c r="K60" i="6"/>
  <c r="G60" i="6"/>
  <c r="H59" i="6"/>
  <c r="D59" i="6"/>
  <c r="I58" i="6"/>
  <c r="E58" i="6"/>
  <c r="J57" i="6"/>
  <c r="F57" i="6"/>
  <c r="K56" i="6"/>
  <c r="G56" i="6"/>
  <c r="H55" i="6"/>
  <c r="D55" i="6"/>
  <c r="I54" i="6"/>
  <c r="E54" i="6"/>
  <c r="J53" i="6"/>
  <c r="F53" i="6"/>
  <c r="K52" i="6"/>
  <c r="G52" i="6"/>
  <c r="H51" i="6"/>
  <c r="D51" i="6"/>
  <c r="I50" i="6"/>
  <c r="E50" i="6"/>
  <c r="J49" i="6"/>
  <c r="F49" i="6"/>
  <c r="K48" i="6"/>
  <c r="G48" i="6"/>
  <c r="H47" i="6"/>
  <c r="D47" i="6"/>
  <c r="I46" i="6"/>
  <c r="E46" i="6"/>
  <c r="J45" i="6"/>
  <c r="F45" i="6"/>
  <c r="K44" i="6"/>
  <c r="G44" i="6"/>
  <c r="H43" i="6"/>
  <c r="D43" i="6"/>
  <c r="I42" i="6"/>
  <c r="E42" i="6"/>
  <c r="E199" i="6"/>
  <c r="F198" i="6"/>
  <c r="E195" i="6"/>
  <c r="F194" i="6"/>
  <c r="E191" i="6"/>
  <c r="F190" i="6"/>
  <c r="E187" i="6"/>
  <c r="F186" i="6"/>
  <c r="E183" i="6"/>
  <c r="F182" i="6"/>
  <c r="E179" i="6"/>
  <c r="F178" i="6"/>
  <c r="E175" i="6"/>
  <c r="F174" i="6"/>
  <c r="E171" i="6"/>
  <c r="F170" i="6"/>
  <c r="E167" i="6"/>
  <c r="F166" i="6"/>
  <c r="E163" i="6"/>
  <c r="F162" i="6"/>
  <c r="E159" i="6"/>
  <c r="F158" i="6"/>
  <c r="E155" i="6"/>
  <c r="F154" i="6"/>
  <c r="E151" i="6"/>
  <c r="F150" i="6"/>
  <c r="E147" i="6"/>
  <c r="F146" i="6"/>
  <c r="E143" i="6"/>
  <c r="F142" i="6"/>
  <c r="E139" i="6"/>
  <c r="F138" i="6"/>
  <c r="F135" i="6"/>
  <c r="G134" i="6"/>
  <c r="H133" i="6"/>
  <c r="J132" i="6"/>
  <c r="F131" i="6"/>
  <c r="G130" i="6"/>
  <c r="H129" i="6"/>
  <c r="J128" i="6"/>
  <c r="F127" i="6"/>
  <c r="G126" i="6"/>
  <c r="H125" i="6"/>
  <c r="J124" i="6"/>
  <c r="F123" i="6"/>
  <c r="G122" i="6"/>
  <c r="H121" i="6"/>
  <c r="J120" i="6"/>
  <c r="F119" i="6"/>
  <c r="G118" i="6"/>
  <c r="H117" i="6"/>
  <c r="J116" i="6"/>
  <c r="F115" i="6"/>
  <c r="G114" i="6"/>
  <c r="H113" i="6"/>
  <c r="J112" i="6"/>
  <c r="F111" i="6"/>
  <c r="G110" i="6"/>
  <c r="H109" i="6"/>
  <c r="J108" i="6"/>
  <c r="F107" i="6"/>
  <c r="G106" i="6"/>
  <c r="H105" i="6"/>
  <c r="J104" i="6"/>
  <c r="F103" i="6"/>
  <c r="G102" i="6"/>
  <c r="H101" i="6"/>
  <c r="J100" i="6"/>
  <c r="F99" i="6"/>
  <c r="G98" i="6"/>
  <c r="H97" i="6"/>
  <c r="J96" i="6"/>
  <c r="F95" i="6"/>
  <c r="G94" i="6"/>
  <c r="H93" i="6"/>
  <c r="J92" i="6"/>
  <c r="F91" i="6"/>
  <c r="G90" i="6"/>
  <c r="H89" i="6"/>
  <c r="J88" i="6"/>
  <c r="F87" i="6"/>
  <c r="G86" i="6"/>
  <c r="H85" i="6"/>
  <c r="J84" i="6"/>
  <c r="F83" i="6"/>
  <c r="G82" i="6"/>
  <c r="H81" i="6"/>
  <c r="J80" i="6"/>
  <c r="F79" i="6"/>
  <c r="G78" i="6"/>
  <c r="H77" i="6"/>
  <c r="J76" i="6"/>
  <c r="F75" i="6"/>
  <c r="G74" i="6"/>
  <c r="H73" i="6"/>
  <c r="J72" i="6"/>
  <c r="F71" i="6"/>
  <c r="G70" i="6"/>
  <c r="H69" i="6"/>
  <c r="J68" i="6"/>
  <c r="F67" i="6"/>
  <c r="G66" i="6"/>
  <c r="H65" i="6"/>
  <c r="J64" i="6"/>
  <c r="F63" i="6"/>
  <c r="G62" i="6"/>
  <c r="H61" i="6"/>
  <c r="J60" i="6"/>
  <c r="F59" i="6"/>
  <c r="G58" i="6"/>
  <c r="H57" i="6"/>
  <c r="J56" i="6"/>
  <c r="F55" i="6"/>
  <c r="G54" i="6"/>
  <c r="H53" i="6"/>
  <c r="J52" i="6"/>
  <c r="F51" i="6"/>
  <c r="G50" i="6"/>
  <c r="H49" i="6"/>
  <c r="J48" i="6"/>
  <c r="F47" i="6"/>
  <c r="G46" i="6"/>
  <c r="H45" i="6"/>
  <c r="J44" i="6"/>
  <c r="F43" i="6"/>
  <c r="G42" i="6"/>
  <c r="I41" i="6"/>
  <c r="D41" i="6"/>
  <c r="I40" i="6"/>
  <c r="E40" i="6"/>
  <c r="J39" i="6"/>
  <c r="F39" i="6"/>
  <c r="K38" i="6"/>
  <c r="G38" i="6"/>
  <c r="H37" i="6"/>
  <c r="D37" i="6"/>
  <c r="I36" i="6"/>
  <c r="E36" i="6"/>
  <c r="J35" i="6"/>
  <c r="F35" i="6"/>
  <c r="K34" i="6"/>
  <c r="G34" i="6"/>
  <c r="H33" i="6"/>
  <c r="D33" i="6"/>
  <c r="I32" i="6"/>
  <c r="E32" i="6"/>
  <c r="J31" i="6"/>
  <c r="F31" i="6"/>
  <c r="K30" i="6"/>
  <c r="G30" i="6"/>
  <c r="H29" i="6"/>
  <c r="D29" i="6"/>
  <c r="I28" i="6"/>
  <c r="E28" i="6"/>
  <c r="J27" i="6"/>
  <c r="F27" i="6"/>
  <c r="K26" i="6"/>
  <c r="G26" i="6"/>
  <c r="H25" i="6"/>
  <c r="D25" i="6"/>
  <c r="I24" i="6"/>
  <c r="E24" i="6"/>
  <c r="J23" i="6"/>
  <c r="F23" i="6"/>
  <c r="K22" i="6"/>
  <c r="G22" i="6"/>
  <c r="H21" i="6"/>
  <c r="D21" i="6"/>
  <c r="I20" i="6"/>
  <c r="E20" i="6"/>
  <c r="J19" i="6"/>
  <c r="F19" i="6"/>
  <c r="K18" i="6"/>
  <c r="G18" i="6"/>
  <c r="H17" i="6"/>
  <c r="D17" i="6"/>
  <c r="I16" i="6"/>
  <c r="E16" i="6"/>
  <c r="J15" i="6"/>
  <c r="F15" i="6"/>
  <c r="K14" i="6"/>
  <c r="G14" i="6"/>
  <c r="H13" i="6"/>
  <c r="D13" i="6"/>
  <c r="I12" i="6"/>
  <c r="E12" i="6"/>
  <c r="J11" i="6"/>
  <c r="F11" i="6"/>
  <c r="K10" i="6"/>
  <c r="G10" i="6"/>
  <c r="H9" i="6"/>
  <c r="D199" i="6"/>
  <c r="K196" i="6"/>
  <c r="D195" i="6"/>
  <c r="K192" i="6"/>
  <c r="D191" i="6"/>
  <c r="K188" i="6"/>
  <c r="D187" i="6"/>
  <c r="K184" i="6"/>
  <c r="D183" i="6"/>
  <c r="K180" i="6"/>
  <c r="D179" i="6"/>
  <c r="K176" i="6"/>
  <c r="D175" i="6"/>
  <c r="K172" i="6"/>
  <c r="D171" i="6"/>
  <c r="K168" i="6"/>
  <c r="D167" i="6"/>
  <c r="K164" i="6"/>
  <c r="D163" i="6"/>
  <c r="K160" i="6"/>
  <c r="D159" i="6"/>
  <c r="K156" i="6"/>
  <c r="D155" i="6"/>
  <c r="K152" i="6"/>
  <c r="D151" i="6"/>
  <c r="K148" i="6"/>
  <c r="D147" i="6"/>
  <c r="K144" i="6"/>
  <c r="D143" i="6"/>
  <c r="K140" i="6"/>
  <c r="D139" i="6"/>
  <c r="K136" i="6"/>
  <c r="K135" i="6"/>
  <c r="D134" i="6"/>
  <c r="E133" i="6"/>
  <c r="I132" i="6"/>
  <c r="K131" i="6"/>
  <c r="D130" i="6"/>
  <c r="E129" i="6"/>
  <c r="I128" i="6"/>
  <c r="K127" i="6"/>
  <c r="D126" i="6"/>
  <c r="E125" i="6"/>
  <c r="I124" i="6"/>
  <c r="K123" i="6"/>
  <c r="D122" i="6"/>
  <c r="E121" i="6"/>
  <c r="I120" i="6"/>
  <c r="K119" i="6"/>
  <c r="D118" i="6"/>
  <c r="E117" i="6"/>
  <c r="I116" i="6"/>
  <c r="K115" i="6"/>
  <c r="D114" i="6"/>
  <c r="E113" i="6"/>
  <c r="I112" i="6"/>
  <c r="K111" i="6"/>
  <c r="D110" i="6"/>
  <c r="E109" i="6"/>
  <c r="I108" i="6"/>
  <c r="K107" i="6"/>
  <c r="D106" i="6"/>
  <c r="E105" i="6"/>
  <c r="I104" i="6"/>
  <c r="K103" i="6"/>
  <c r="D102" i="6"/>
  <c r="E101" i="6"/>
  <c r="I100" i="6"/>
  <c r="K99" i="6"/>
  <c r="D98" i="6"/>
  <c r="E97" i="6"/>
  <c r="I96" i="6"/>
  <c r="K95" i="6"/>
  <c r="D94" i="6"/>
  <c r="E93" i="6"/>
  <c r="I92" i="6"/>
  <c r="K91" i="6"/>
  <c r="D90" i="6"/>
  <c r="E89" i="6"/>
  <c r="I88" i="6"/>
  <c r="K87" i="6"/>
  <c r="D86" i="6"/>
  <c r="E85" i="6"/>
  <c r="I84" i="6"/>
  <c r="K83" i="6"/>
  <c r="D82" i="6"/>
  <c r="E81" i="6"/>
  <c r="I80" i="6"/>
  <c r="K79" i="6"/>
  <c r="D78" i="6"/>
  <c r="E77" i="6"/>
  <c r="I76" i="6"/>
  <c r="K75" i="6"/>
  <c r="D74" i="6"/>
  <c r="E73" i="6"/>
  <c r="I72" i="6"/>
  <c r="K71" i="6"/>
  <c r="D70" i="6"/>
  <c r="E69" i="6"/>
  <c r="I68" i="6"/>
  <c r="K67" i="6"/>
  <c r="D66" i="6"/>
  <c r="E65" i="6"/>
  <c r="I64" i="6"/>
  <c r="K63" i="6"/>
  <c r="D62" i="6"/>
  <c r="E61" i="6"/>
  <c r="I60" i="6"/>
  <c r="K59" i="6"/>
  <c r="D58" i="6"/>
  <c r="E57" i="6"/>
  <c r="I56" i="6"/>
  <c r="K55" i="6"/>
  <c r="D54" i="6"/>
  <c r="E53" i="6"/>
  <c r="I52" i="6"/>
  <c r="K51" i="6"/>
  <c r="D50" i="6"/>
  <c r="E49" i="6"/>
  <c r="I48" i="6"/>
  <c r="K47" i="6"/>
  <c r="D46" i="6"/>
  <c r="E45" i="6"/>
  <c r="I44" i="6"/>
  <c r="K43" i="6"/>
  <c r="D42" i="6"/>
  <c r="H41" i="6"/>
  <c r="H40" i="6"/>
  <c r="D40" i="6"/>
  <c r="I39" i="6"/>
  <c r="E39" i="6"/>
  <c r="J38" i="6"/>
  <c r="F38" i="6"/>
  <c r="K37" i="6"/>
  <c r="G37" i="6"/>
  <c r="H36" i="6"/>
  <c r="D36" i="6"/>
  <c r="I35" i="6"/>
  <c r="E35" i="6"/>
  <c r="J34" i="6"/>
  <c r="F34" i="6"/>
  <c r="K33" i="6"/>
  <c r="G33" i="6"/>
  <c r="H32" i="6"/>
  <c r="D32" i="6"/>
  <c r="I31" i="6"/>
  <c r="E31" i="6"/>
  <c r="J30" i="6"/>
  <c r="F30" i="6"/>
  <c r="K29" i="6"/>
  <c r="G29" i="6"/>
  <c r="H28" i="6"/>
  <c r="D28" i="6"/>
  <c r="I27" i="6"/>
  <c r="E27" i="6"/>
  <c r="J26" i="6"/>
  <c r="F26" i="6"/>
  <c r="K25" i="6"/>
  <c r="G25" i="6"/>
  <c r="H24" i="6"/>
  <c r="D24" i="6"/>
  <c r="I23" i="6"/>
  <c r="E23" i="6"/>
  <c r="J22" i="6"/>
  <c r="F22" i="6"/>
  <c r="K21" i="6"/>
  <c r="G21" i="6"/>
  <c r="H20" i="6"/>
  <c r="D20" i="6"/>
  <c r="I19" i="6"/>
  <c r="E19" i="6"/>
  <c r="J18" i="6"/>
  <c r="F18" i="6"/>
  <c r="K17" i="6"/>
  <c r="G17" i="6"/>
  <c r="H16" i="6"/>
  <c r="D16" i="6"/>
  <c r="I15" i="6"/>
  <c r="E15" i="6"/>
  <c r="J14" i="6"/>
  <c r="F14" i="6"/>
  <c r="K13" i="6"/>
  <c r="G13" i="6"/>
  <c r="H12" i="6"/>
  <c r="D12" i="6"/>
  <c r="I11" i="6"/>
  <c r="E11" i="6"/>
  <c r="J10" i="6"/>
  <c r="F10" i="6"/>
  <c r="K9" i="6"/>
  <c r="G9" i="6"/>
  <c r="H8" i="6"/>
  <c r="D8" i="6"/>
  <c r="I7" i="6"/>
  <c r="E7" i="6"/>
  <c r="J6" i="6"/>
  <c r="F6" i="6"/>
  <c r="K5" i="6"/>
  <c r="G5" i="6"/>
  <c r="H4" i="6"/>
  <c r="D4" i="6"/>
  <c r="I3" i="6"/>
  <c r="E3" i="6"/>
  <c r="K197" i="6"/>
  <c r="D196" i="6"/>
  <c r="K193" i="6"/>
  <c r="D192" i="6"/>
  <c r="K189" i="6"/>
  <c r="D188" i="6"/>
  <c r="K185" i="6"/>
  <c r="D184" i="6"/>
  <c r="K181" i="6"/>
  <c r="D180" i="6"/>
  <c r="K177" i="6"/>
  <c r="D176" i="6"/>
  <c r="K173" i="6"/>
  <c r="D172" i="6"/>
  <c r="K169" i="6"/>
  <c r="D168" i="6"/>
  <c r="K165" i="6"/>
  <c r="D164" i="6"/>
  <c r="K161" i="6"/>
  <c r="D160" i="6"/>
  <c r="K157" i="6"/>
  <c r="D156" i="6"/>
  <c r="K153" i="6"/>
  <c r="D152" i="6"/>
  <c r="K149" i="6"/>
  <c r="D148" i="6"/>
  <c r="K145" i="6"/>
  <c r="D144" i="6"/>
  <c r="K141" i="6"/>
  <c r="D140" i="6"/>
  <c r="K137" i="6"/>
  <c r="F136" i="6"/>
  <c r="J135" i="6"/>
  <c r="K134" i="6"/>
  <c r="D133" i="6"/>
  <c r="F132" i="6"/>
  <c r="J131" i="6"/>
  <c r="K130" i="6"/>
  <c r="D129" i="6"/>
  <c r="F128" i="6"/>
  <c r="J127" i="6"/>
  <c r="K126" i="6"/>
  <c r="D125" i="6"/>
  <c r="F124" i="6"/>
  <c r="J123" i="6"/>
  <c r="K122" i="6"/>
  <c r="D121" i="6"/>
  <c r="F120" i="6"/>
  <c r="J119" i="6"/>
  <c r="H118" i="6"/>
  <c r="J115" i="6"/>
  <c r="H114" i="6"/>
  <c r="J111" i="6"/>
  <c r="H110" i="6"/>
  <c r="J107" i="6"/>
  <c r="H106" i="6"/>
  <c r="J103" i="6"/>
  <c r="H102" i="6"/>
  <c r="J99" i="6"/>
  <c r="H98" i="6"/>
  <c r="J95" i="6"/>
  <c r="H94" i="6"/>
  <c r="J91" i="6"/>
  <c r="H90" i="6"/>
  <c r="J87" i="6"/>
  <c r="H86" i="6"/>
  <c r="J83" i="6"/>
  <c r="H82" i="6"/>
  <c r="J79" i="6"/>
  <c r="H78" i="6"/>
  <c r="J75" i="6"/>
  <c r="H74" i="6"/>
  <c r="J71" i="6"/>
  <c r="H70" i="6"/>
  <c r="J67" i="6"/>
  <c r="H66" i="6"/>
  <c r="J63" i="6"/>
  <c r="H62" i="6"/>
  <c r="J59" i="6"/>
  <c r="H58" i="6"/>
  <c r="J55" i="6"/>
  <c r="H54" i="6"/>
  <c r="J51" i="6"/>
  <c r="H50" i="6"/>
  <c r="J47" i="6"/>
  <c r="H46" i="6"/>
  <c r="J43" i="6"/>
  <c r="H42" i="6"/>
  <c r="E41" i="6"/>
  <c r="G40" i="6"/>
  <c r="H39" i="6"/>
  <c r="I38" i="6"/>
  <c r="E37" i="6"/>
  <c r="G36" i="6"/>
  <c r="H35" i="6"/>
  <c r="I34" i="6"/>
  <c r="E33" i="6"/>
  <c r="G32" i="6"/>
  <c r="H31" i="6"/>
  <c r="I30" i="6"/>
  <c r="E29" i="6"/>
  <c r="G28" i="6"/>
  <c r="H27" i="6"/>
  <c r="I26" i="6"/>
  <c r="E25" i="6"/>
  <c r="G24" i="6"/>
  <c r="H23" i="6"/>
  <c r="I22" i="6"/>
  <c r="E21" i="6"/>
  <c r="G20" i="6"/>
  <c r="H19" i="6"/>
  <c r="I18" i="6"/>
  <c r="E17" i="6"/>
  <c r="G16" i="6"/>
  <c r="H15" i="6"/>
  <c r="I14" i="6"/>
  <c r="E13" i="6"/>
  <c r="G12" i="6"/>
  <c r="H11" i="6"/>
  <c r="I10" i="6"/>
  <c r="E9" i="6"/>
  <c r="I8" i="6"/>
  <c r="G7" i="6"/>
  <c r="K6" i="6"/>
  <c r="E6" i="6"/>
  <c r="I5" i="6"/>
  <c r="D5" i="6"/>
  <c r="G4" i="6"/>
  <c r="K3" i="6"/>
  <c r="F3" i="6"/>
  <c r="F52" i="6"/>
  <c r="G43" i="6"/>
  <c r="F40" i="6"/>
  <c r="H38" i="6"/>
  <c r="F36" i="6"/>
  <c r="H34" i="6"/>
  <c r="F32" i="6"/>
  <c r="H30" i="6"/>
  <c r="F28" i="6"/>
  <c r="H26" i="6"/>
  <c r="F24" i="6"/>
  <c r="H22" i="6"/>
  <c r="F20" i="6"/>
  <c r="H18" i="6"/>
  <c r="F16" i="6"/>
  <c r="H14" i="6"/>
  <c r="F12" i="6"/>
  <c r="H10" i="6"/>
  <c r="D9" i="6"/>
  <c r="K7" i="6"/>
  <c r="I6" i="6"/>
  <c r="H5" i="6"/>
  <c r="F4" i="6"/>
  <c r="I117" i="6"/>
  <c r="E112" i="6"/>
  <c r="E108" i="6"/>
  <c r="E104" i="6"/>
  <c r="E100" i="6"/>
  <c r="I97" i="6"/>
  <c r="I93" i="6"/>
  <c r="I89" i="6"/>
  <c r="E84" i="6"/>
  <c r="I81" i="6"/>
  <c r="I77" i="6"/>
  <c r="E72" i="6"/>
  <c r="I69" i="6"/>
  <c r="E64" i="6"/>
  <c r="I61" i="6"/>
  <c r="E56" i="6"/>
  <c r="E52" i="6"/>
  <c r="E48" i="6"/>
  <c r="E44" i="6"/>
  <c r="J41" i="6"/>
  <c r="I37" i="6"/>
  <c r="E34" i="6"/>
  <c r="K32" i="6"/>
  <c r="D31" i="6"/>
  <c r="I29" i="6"/>
  <c r="E26" i="6"/>
  <c r="K24" i="6"/>
  <c r="D23" i="6"/>
  <c r="I21" i="6"/>
  <c r="E18" i="6"/>
  <c r="K16" i="6"/>
  <c r="D15" i="6"/>
  <c r="I13" i="6"/>
  <c r="E10" i="6"/>
  <c r="K8" i="6"/>
  <c r="J7" i="6"/>
  <c r="H6" i="6"/>
  <c r="F5" i="6"/>
  <c r="J4" i="6"/>
  <c r="E4" i="6"/>
  <c r="H3" i="6"/>
  <c r="J197" i="6"/>
  <c r="I170" i="6"/>
  <c r="J165" i="6"/>
  <c r="I154" i="6"/>
  <c r="J149" i="6"/>
  <c r="I138" i="6"/>
  <c r="H134" i="6"/>
  <c r="H130" i="6"/>
  <c r="H126" i="6"/>
  <c r="H122" i="6"/>
  <c r="K118" i="6"/>
  <c r="K114" i="6"/>
  <c r="D109" i="6"/>
  <c r="D105" i="6"/>
  <c r="D101" i="6"/>
  <c r="K98" i="6"/>
  <c r="K94" i="6"/>
  <c r="K90" i="6"/>
  <c r="K86" i="6"/>
  <c r="K82" i="6"/>
  <c r="K78" i="6"/>
  <c r="K74" i="6"/>
  <c r="K70" i="6"/>
  <c r="D65" i="6"/>
  <c r="D61" i="6"/>
  <c r="D57" i="6"/>
  <c r="K54" i="6"/>
  <c r="D49" i="6"/>
  <c r="D45" i="6"/>
  <c r="F41" i="6"/>
  <c r="K39" i="6"/>
  <c r="D38" i="6"/>
  <c r="F37" i="6"/>
  <c r="K35" i="6"/>
  <c r="D34" i="6"/>
  <c r="J32" i="6"/>
  <c r="F29" i="6"/>
  <c r="K27" i="6"/>
  <c r="D26" i="6"/>
  <c r="J24" i="6"/>
  <c r="F21" i="6"/>
  <c r="K19" i="6"/>
  <c r="D18" i="6"/>
  <c r="K15" i="6"/>
  <c r="D14" i="6"/>
  <c r="J12" i="6"/>
  <c r="F9" i="6"/>
  <c r="E8" i="6"/>
  <c r="I4" i="6"/>
  <c r="G3" i="6"/>
  <c r="I198" i="6"/>
  <c r="J193" i="6"/>
  <c r="I190" i="6"/>
  <c r="J185" i="6"/>
  <c r="I182" i="6"/>
  <c r="J177" i="6"/>
  <c r="I174" i="6"/>
  <c r="J169" i="6"/>
  <c r="I166" i="6"/>
  <c r="J161" i="6"/>
  <c r="I158" i="6"/>
  <c r="J153" i="6"/>
  <c r="I150" i="6"/>
  <c r="J145" i="6"/>
  <c r="I142" i="6"/>
  <c r="J137" i="6"/>
  <c r="G135" i="6"/>
  <c r="I133" i="6"/>
  <c r="G131" i="6"/>
  <c r="I129" i="6"/>
  <c r="G127" i="6"/>
  <c r="I125" i="6"/>
  <c r="G123" i="6"/>
  <c r="I121" i="6"/>
  <c r="G119" i="6"/>
  <c r="F116" i="6"/>
  <c r="G115" i="6"/>
  <c r="F112" i="6"/>
  <c r="G111" i="6"/>
  <c r="F108" i="6"/>
  <c r="G107" i="6"/>
  <c r="F104" i="6"/>
  <c r="G103" i="6"/>
  <c r="F100" i="6"/>
  <c r="G99" i="6"/>
  <c r="F96" i="6"/>
  <c r="G95" i="6"/>
  <c r="F92" i="6"/>
  <c r="G91" i="6"/>
  <c r="F88" i="6"/>
  <c r="G87" i="6"/>
  <c r="F84" i="6"/>
  <c r="G83" i="6"/>
  <c r="F80" i="6"/>
  <c r="G79" i="6"/>
  <c r="F76" i="6"/>
  <c r="G75" i="6"/>
  <c r="F72" i="6"/>
  <c r="G71" i="6"/>
  <c r="F68" i="6"/>
  <c r="G67" i="6"/>
  <c r="F64" i="6"/>
  <c r="G63" i="6"/>
  <c r="F60" i="6"/>
  <c r="G59" i="6"/>
  <c r="F56" i="6"/>
  <c r="G55" i="6"/>
  <c r="G51" i="6"/>
  <c r="F48" i="6"/>
  <c r="G47" i="6"/>
  <c r="F44" i="6"/>
  <c r="G39" i="6"/>
  <c r="J37" i="6"/>
  <c r="G35" i="6"/>
  <c r="J33" i="6"/>
  <c r="G31" i="6"/>
  <c r="J29" i="6"/>
  <c r="G27" i="6"/>
  <c r="J25" i="6"/>
  <c r="G23" i="6"/>
  <c r="J21" i="6"/>
  <c r="G19" i="6"/>
  <c r="J17" i="6"/>
  <c r="G15" i="6"/>
  <c r="J13" i="6"/>
  <c r="G11" i="6"/>
  <c r="J9" i="6"/>
  <c r="G8" i="6"/>
  <c r="F7" i="6"/>
  <c r="D6" i="6"/>
  <c r="K4" i="6"/>
  <c r="J3" i="6"/>
  <c r="E116" i="6"/>
  <c r="I113" i="6"/>
  <c r="I109" i="6"/>
  <c r="I105" i="6"/>
  <c r="I101" i="6"/>
  <c r="E96" i="6"/>
  <c r="E92" i="6"/>
  <c r="E88" i="6"/>
  <c r="I85" i="6"/>
  <c r="E80" i="6"/>
  <c r="E76" i="6"/>
  <c r="I73" i="6"/>
  <c r="E68" i="6"/>
  <c r="I65" i="6"/>
  <c r="E60" i="6"/>
  <c r="I57" i="6"/>
  <c r="I53" i="6"/>
  <c r="I49" i="6"/>
  <c r="I45" i="6"/>
  <c r="K40" i="6"/>
  <c r="D39" i="6"/>
  <c r="E38" i="6"/>
  <c r="K36" i="6"/>
  <c r="D35" i="6"/>
  <c r="I33" i="6"/>
  <c r="E30" i="6"/>
  <c r="K28" i="6"/>
  <c r="D27" i="6"/>
  <c r="I25" i="6"/>
  <c r="E22" i="6"/>
  <c r="K20" i="6"/>
  <c r="D19" i="6"/>
  <c r="I17" i="6"/>
  <c r="E14" i="6"/>
  <c r="K12" i="6"/>
  <c r="D11" i="6"/>
  <c r="I9" i="6"/>
  <c r="F8" i="6"/>
  <c r="D7" i="6"/>
  <c r="I194" i="6"/>
  <c r="J189" i="6"/>
  <c r="I186" i="6"/>
  <c r="J181" i="6"/>
  <c r="I178" i="6"/>
  <c r="J173" i="6"/>
  <c r="I162" i="6"/>
  <c r="J157" i="6"/>
  <c r="I146" i="6"/>
  <c r="J141" i="6"/>
  <c r="E136" i="6"/>
  <c r="E132" i="6"/>
  <c r="E128" i="6"/>
  <c r="E124" i="6"/>
  <c r="E120" i="6"/>
  <c r="D117" i="6"/>
  <c r="D113" i="6"/>
  <c r="K110" i="6"/>
  <c r="K106" i="6"/>
  <c r="K102" i="6"/>
  <c r="D97" i="6"/>
  <c r="D93" i="6"/>
  <c r="D89" i="6"/>
  <c r="D85" i="6"/>
  <c r="D81" i="6"/>
  <c r="D77" i="6"/>
  <c r="D73" i="6"/>
  <c r="D69" i="6"/>
  <c r="K66" i="6"/>
  <c r="K62" i="6"/>
  <c r="K58" i="6"/>
  <c r="D53" i="6"/>
  <c r="K50" i="6"/>
  <c r="K46" i="6"/>
  <c r="K42" i="6"/>
  <c r="J40" i="6"/>
  <c r="J36" i="6"/>
  <c r="F33" i="6"/>
  <c r="K31" i="6"/>
  <c r="D30" i="6"/>
  <c r="J28" i="6"/>
  <c r="F25" i="6"/>
  <c r="K23" i="6"/>
  <c r="D22" i="6"/>
  <c r="J20" i="6"/>
  <c r="F17" i="6"/>
  <c r="J16" i="6"/>
  <c r="F13" i="6"/>
  <c r="K11" i="6"/>
  <c r="D10" i="6"/>
  <c r="J8" i="6"/>
  <c r="H7" i="6"/>
  <c r="G6" i="6"/>
  <c r="J5" i="6"/>
  <c r="E5" i="6"/>
  <c r="I2" i="6"/>
  <c r="H2" i="6"/>
  <c r="K2" i="6"/>
  <c r="E2" i="6"/>
  <c r="F2" i="6"/>
  <c r="J2" i="6"/>
  <c r="G2" i="6"/>
  <c r="D2" i="6"/>
  <c r="C199" i="5" l="1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2" i="5"/>
  <c r="C3" i="5" s="1"/>
  <c r="C4" i="5" s="1"/>
  <c r="C5" i="5" s="1"/>
  <c r="C6" i="5" s="1"/>
  <c r="C7" i="5" s="1"/>
  <c r="C8" i="5" s="1"/>
  <c r="C9" i="5" s="1"/>
  <c r="T200" i="1"/>
  <c r="R200" i="1"/>
  <c r="N200" i="1"/>
  <c r="J200" i="1"/>
  <c r="L200" i="1" s="1"/>
  <c r="I200" i="1"/>
  <c r="A200" i="1"/>
  <c r="T199" i="1"/>
  <c r="R199" i="1"/>
  <c r="N199" i="1"/>
  <c r="J199" i="1"/>
  <c r="L199" i="1" s="1"/>
  <c r="I199" i="1"/>
  <c r="A199" i="1"/>
  <c r="T198" i="1"/>
  <c r="R198" i="1"/>
  <c r="N198" i="1"/>
  <c r="J198" i="1"/>
  <c r="L198" i="1" s="1"/>
  <c r="I198" i="1"/>
  <c r="A198" i="1"/>
  <c r="T197" i="1"/>
  <c r="R197" i="1"/>
  <c r="N197" i="1"/>
  <c r="J197" i="1"/>
  <c r="L197" i="1" s="1"/>
  <c r="I197" i="1"/>
  <c r="A197" i="1"/>
  <c r="T196" i="1"/>
  <c r="R196" i="1"/>
  <c r="N196" i="1"/>
  <c r="J196" i="1"/>
  <c r="L196" i="1" s="1"/>
  <c r="I196" i="1"/>
  <c r="A196" i="1"/>
  <c r="T195" i="1"/>
  <c r="R195" i="1"/>
  <c r="N195" i="1"/>
  <c r="J195" i="1"/>
  <c r="L195" i="1" s="1"/>
  <c r="I195" i="1"/>
  <c r="A195" i="1"/>
  <c r="T194" i="1"/>
  <c r="R194" i="1"/>
  <c r="N194" i="1"/>
  <c r="J194" i="1"/>
  <c r="L194" i="1" s="1"/>
  <c r="I194" i="1"/>
  <c r="A194" i="1"/>
  <c r="T193" i="1"/>
  <c r="R193" i="1"/>
  <c r="N193" i="1"/>
  <c r="J193" i="1"/>
  <c r="L193" i="1" s="1"/>
  <c r="I193" i="1"/>
  <c r="A193" i="1"/>
  <c r="T192" i="1"/>
  <c r="R192" i="1"/>
  <c r="N192" i="1"/>
  <c r="J192" i="1"/>
  <c r="L192" i="1" s="1"/>
  <c r="I192" i="1"/>
  <c r="A192" i="1"/>
  <c r="T191" i="1"/>
  <c r="R191" i="1"/>
  <c r="N191" i="1"/>
  <c r="J191" i="1"/>
  <c r="L191" i="1" s="1"/>
  <c r="I191" i="1"/>
  <c r="A191" i="1"/>
  <c r="T190" i="1"/>
  <c r="R190" i="1"/>
  <c r="N190" i="1"/>
  <c r="J190" i="1"/>
  <c r="L190" i="1" s="1"/>
  <c r="I190" i="1"/>
  <c r="A190" i="1"/>
  <c r="T189" i="1"/>
  <c r="R189" i="1"/>
  <c r="N189" i="1"/>
  <c r="J189" i="1"/>
  <c r="L189" i="1" s="1"/>
  <c r="I189" i="1"/>
  <c r="A189" i="1"/>
  <c r="T188" i="1"/>
  <c r="R188" i="1"/>
  <c r="N188" i="1"/>
  <c r="J188" i="1"/>
  <c r="L188" i="1" s="1"/>
  <c r="I188" i="1"/>
  <c r="A188" i="1"/>
  <c r="T187" i="1"/>
  <c r="R187" i="1"/>
  <c r="N187" i="1"/>
  <c r="J187" i="1"/>
  <c r="L187" i="1" s="1"/>
  <c r="I187" i="1"/>
  <c r="A187" i="1"/>
  <c r="T186" i="1"/>
  <c r="R186" i="1"/>
  <c r="N186" i="1"/>
  <c r="J186" i="1"/>
  <c r="L186" i="1" s="1"/>
  <c r="I186" i="1"/>
  <c r="A186" i="1"/>
  <c r="T185" i="1"/>
  <c r="R185" i="1"/>
  <c r="N185" i="1"/>
  <c r="J185" i="1"/>
  <c r="L185" i="1" s="1"/>
  <c r="I185" i="1"/>
  <c r="A185" i="1"/>
  <c r="T184" i="1"/>
  <c r="R184" i="1"/>
  <c r="N184" i="1"/>
  <c r="J184" i="1"/>
  <c r="L184" i="1" s="1"/>
  <c r="I184" i="1"/>
  <c r="A184" i="1"/>
  <c r="T183" i="1"/>
  <c r="R183" i="1"/>
  <c r="N183" i="1"/>
  <c r="J183" i="1"/>
  <c r="L183" i="1" s="1"/>
  <c r="I183" i="1"/>
  <c r="A183" i="1"/>
  <c r="T182" i="1"/>
  <c r="R182" i="1"/>
  <c r="N182" i="1"/>
  <c r="J182" i="1"/>
  <c r="L182" i="1" s="1"/>
  <c r="I182" i="1"/>
  <c r="A182" i="1"/>
  <c r="T181" i="1"/>
  <c r="R181" i="1"/>
  <c r="N181" i="1"/>
  <c r="J181" i="1"/>
  <c r="L181" i="1" s="1"/>
  <c r="I181" i="1"/>
  <c r="A181" i="1"/>
  <c r="T180" i="1"/>
  <c r="R180" i="1"/>
  <c r="N180" i="1"/>
  <c r="J180" i="1"/>
  <c r="L180" i="1" s="1"/>
  <c r="I180" i="1"/>
  <c r="A180" i="1"/>
  <c r="T179" i="1"/>
  <c r="R179" i="1"/>
  <c r="N179" i="1"/>
  <c r="J179" i="1"/>
  <c r="L179" i="1" s="1"/>
  <c r="I179" i="1"/>
  <c r="A179" i="1"/>
  <c r="T178" i="1"/>
  <c r="R178" i="1"/>
  <c r="N178" i="1"/>
  <c r="J178" i="1"/>
  <c r="L178" i="1" s="1"/>
  <c r="I178" i="1"/>
  <c r="A178" i="1"/>
  <c r="T177" i="1"/>
  <c r="R177" i="1"/>
  <c r="N177" i="1"/>
  <c r="J177" i="1"/>
  <c r="L177" i="1" s="1"/>
  <c r="I177" i="1"/>
  <c r="A177" i="1"/>
  <c r="T176" i="1"/>
  <c r="R176" i="1"/>
  <c r="N176" i="1"/>
  <c r="J176" i="1"/>
  <c r="L176" i="1" s="1"/>
  <c r="I176" i="1"/>
  <c r="A176" i="1"/>
  <c r="T175" i="1"/>
  <c r="R175" i="1"/>
  <c r="N175" i="1"/>
  <c r="J175" i="1"/>
  <c r="L175" i="1" s="1"/>
  <c r="I175" i="1"/>
  <c r="A175" i="1"/>
  <c r="T174" i="1"/>
  <c r="R174" i="1"/>
  <c r="N174" i="1"/>
  <c r="J174" i="1"/>
  <c r="L174" i="1" s="1"/>
  <c r="I174" i="1"/>
  <c r="A174" i="1"/>
  <c r="T173" i="1"/>
  <c r="R173" i="1"/>
  <c r="N173" i="1"/>
  <c r="J173" i="1"/>
  <c r="L173" i="1" s="1"/>
  <c r="I173" i="1"/>
  <c r="A173" i="1"/>
  <c r="T172" i="1"/>
  <c r="R172" i="1"/>
  <c r="N172" i="1"/>
  <c r="J172" i="1"/>
  <c r="L172" i="1" s="1"/>
  <c r="I172" i="1"/>
  <c r="A172" i="1"/>
  <c r="T171" i="1"/>
  <c r="R171" i="1"/>
  <c r="N171" i="1"/>
  <c r="J171" i="1"/>
  <c r="L171" i="1" s="1"/>
  <c r="I171" i="1"/>
  <c r="A171" i="1"/>
  <c r="T170" i="1"/>
  <c r="R170" i="1"/>
  <c r="N170" i="1"/>
  <c r="J170" i="1"/>
  <c r="L170" i="1" s="1"/>
  <c r="I170" i="1"/>
  <c r="A170" i="1"/>
  <c r="T169" i="1"/>
  <c r="R169" i="1"/>
  <c r="N169" i="1"/>
  <c r="J169" i="1"/>
  <c r="L169" i="1" s="1"/>
  <c r="I169" i="1"/>
  <c r="A169" i="1"/>
  <c r="T168" i="1"/>
  <c r="R168" i="1"/>
  <c r="N168" i="1"/>
  <c r="J168" i="1"/>
  <c r="L168" i="1" s="1"/>
  <c r="I168" i="1"/>
  <c r="A168" i="1"/>
  <c r="T167" i="1"/>
  <c r="R167" i="1"/>
  <c r="N167" i="1"/>
  <c r="J167" i="1"/>
  <c r="L167" i="1" s="1"/>
  <c r="I167" i="1"/>
  <c r="A167" i="1"/>
  <c r="T166" i="1"/>
  <c r="R166" i="1"/>
  <c r="N166" i="1"/>
  <c r="J166" i="1"/>
  <c r="L166" i="1" s="1"/>
  <c r="I166" i="1"/>
  <c r="A166" i="1"/>
  <c r="T165" i="1"/>
  <c r="R165" i="1"/>
  <c r="N165" i="1"/>
  <c r="J165" i="1"/>
  <c r="L165" i="1" s="1"/>
  <c r="I165" i="1"/>
  <c r="A165" i="1"/>
  <c r="T164" i="1"/>
  <c r="R164" i="1"/>
  <c r="N164" i="1"/>
  <c r="J164" i="1"/>
  <c r="L164" i="1" s="1"/>
  <c r="I164" i="1"/>
  <c r="A164" i="1"/>
  <c r="T163" i="1"/>
  <c r="R163" i="1"/>
  <c r="N163" i="1"/>
  <c r="J163" i="1"/>
  <c r="L163" i="1" s="1"/>
  <c r="I163" i="1"/>
  <c r="A163" i="1"/>
  <c r="T162" i="1"/>
  <c r="R162" i="1"/>
  <c r="N162" i="1"/>
  <c r="J162" i="1"/>
  <c r="L162" i="1" s="1"/>
  <c r="I162" i="1"/>
  <c r="A162" i="1"/>
  <c r="T161" i="1"/>
  <c r="R161" i="1"/>
  <c r="N161" i="1"/>
  <c r="J161" i="1"/>
  <c r="L161" i="1" s="1"/>
  <c r="I161" i="1"/>
  <c r="A161" i="1"/>
  <c r="T160" i="1"/>
  <c r="R160" i="1"/>
  <c r="N160" i="1"/>
  <c r="J160" i="1"/>
  <c r="L160" i="1" s="1"/>
  <c r="I160" i="1"/>
  <c r="A160" i="1"/>
  <c r="T159" i="1"/>
  <c r="R159" i="1"/>
  <c r="N159" i="1"/>
  <c r="J159" i="1"/>
  <c r="L159" i="1" s="1"/>
  <c r="I159" i="1"/>
  <c r="A159" i="1"/>
  <c r="T158" i="1"/>
  <c r="R158" i="1"/>
  <c r="N158" i="1"/>
  <c r="J158" i="1"/>
  <c r="L158" i="1" s="1"/>
  <c r="I158" i="1"/>
  <c r="A158" i="1"/>
  <c r="T157" i="1"/>
  <c r="R157" i="1"/>
  <c r="N157" i="1"/>
  <c r="J157" i="1"/>
  <c r="L157" i="1" s="1"/>
  <c r="I157" i="1"/>
  <c r="A157" i="1"/>
  <c r="T156" i="1"/>
  <c r="R156" i="1"/>
  <c r="N156" i="1"/>
  <c r="J156" i="1"/>
  <c r="L156" i="1" s="1"/>
  <c r="I156" i="1"/>
  <c r="A156" i="1"/>
  <c r="T155" i="1"/>
  <c r="R155" i="1"/>
  <c r="N155" i="1"/>
  <c r="J155" i="1"/>
  <c r="L155" i="1" s="1"/>
  <c r="I155" i="1"/>
  <c r="A155" i="1"/>
  <c r="T154" i="1"/>
  <c r="R154" i="1"/>
  <c r="N154" i="1"/>
  <c r="J154" i="1"/>
  <c r="L154" i="1" s="1"/>
  <c r="I154" i="1"/>
  <c r="A154" i="1"/>
  <c r="T153" i="1"/>
  <c r="R153" i="1"/>
  <c r="N153" i="1"/>
  <c r="J153" i="1"/>
  <c r="L153" i="1" s="1"/>
  <c r="I153" i="1"/>
  <c r="A153" i="1"/>
  <c r="T152" i="1"/>
  <c r="R152" i="1"/>
  <c r="N152" i="1"/>
  <c r="J152" i="1"/>
  <c r="L152" i="1" s="1"/>
  <c r="I152" i="1"/>
  <c r="A152" i="1"/>
  <c r="T151" i="1"/>
  <c r="R151" i="1"/>
  <c r="N151" i="1"/>
  <c r="J151" i="1"/>
  <c r="L151" i="1" s="1"/>
  <c r="I151" i="1"/>
  <c r="A151" i="1"/>
  <c r="T150" i="1"/>
  <c r="R150" i="1"/>
  <c r="N150" i="1"/>
  <c r="J150" i="1"/>
  <c r="L150" i="1" s="1"/>
  <c r="I150" i="1"/>
  <c r="A150" i="1"/>
  <c r="T149" i="1"/>
  <c r="R149" i="1"/>
  <c r="N149" i="1"/>
  <c r="J149" i="1"/>
  <c r="L149" i="1" s="1"/>
  <c r="I149" i="1"/>
  <c r="A149" i="1"/>
  <c r="T148" i="1"/>
  <c r="R148" i="1"/>
  <c r="N148" i="1"/>
  <c r="J148" i="1"/>
  <c r="L148" i="1" s="1"/>
  <c r="I148" i="1"/>
  <c r="A148" i="1"/>
  <c r="T147" i="1"/>
  <c r="R147" i="1"/>
  <c r="N147" i="1"/>
  <c r="J147" i="1"/>
  <c r="L147" i="1" s="1"/>
  <c r="I147" i="1"/>
  <c r="A147" i="1"/>
  <c r="T146" i="1"/>
  <c r="R146" i="1"/>
  <c r="N146" i="1"/>
  <c r="J146" i="1"/>
  <c r="L146" i="1" s="1"/>
  <c r="I146" i="1"/>
  <c r="A146" i="1"/>
  <c r="T145" i="1"/>
  <c r="R145" i="1"/>
  <c r="N145" i="1"/>
  <c r="J145" i="1"/>
  <c r="L145" i="1" s="1"/>
  <c r="I145" i="1"/>
  <c r="A145" i="1"/>
  <c r="T144" i="1"/>
  <c r="R144" i="1"/>
  <c r="N144" i="1"/>
  <c r="J144" i="1"/>
  <c r="L144" i="1" s="1"/>
  <c r="I144" i="1"/>
  <c r="A144" i="1"/>
  <c r="T143" i="1"/>
  <c r="R143" i="1"/>
  <c r="N143" i="1"/>
  <c r="J143" i="1"/>
  <c r="L143" i="1" s="1"/>
  <c r="I143" i="1"/>
  <c r="A143" i="1"/>
  <c r="T142" i="1"/>
  <c r="R142" i="1"/>
  <c r="N142" i="1"/>
  <c r="J142" i="1"/>
  <c r="L142" i="1" s="1"/>
  <c r="I142" i="1"/>
  <c r="A142" i="1"/>
  <c r="T141" i="1"/>
  <c r="R141" i="1"/>
  <c r="N141" i="1"/>
  <c r="J141" i="1"/>
  <c r="L141" i="1" s="1"/>
  <c r="I141" i="1"/>
  <c r="A141" i="1"/>
  <c r="T140" i="1"/>
  <c r="R140" i="1"/>
  <c r="N140" i="1"/>
  <c r="J140" i="1"/>
  <c r="L140" i="1" s="1"/>
  <c r="I140" i="1"/>
  <c r="A140" i="1"/>
  <c r="T139" i="1"/>
  <c r="R139" i="1"/>
  <c r="N139" i="1"/>
  <c r="J139" i="1"/>
  <c r="L139" i="1" s="1"/>
  <c r="I139" i="1"/>
  <c r="A139" i="1"/>
  <c r="T138" i="1"/>
  <c r="R138" i="1"/>
  <c r="N138" i="1"/>
  <c r="J138" i="1"/>
  <c r="L138" i="1" s="1"/>
  <c r="I138" i="1"/>
  <c r="A138" i="1"/>
  <c r="T137" i="1"/>
  <c r="R137" i="1"/>
  <c r="N137" i="1"/>
  <c r="J137" i="1"/>
  <c r="L137" i="1" s="1"/>
  <c r="I137" i="1"/>
  <c r="A137" i="1"/>
  <c r="T136" i="1"/>
  <c r="R136" i="1"/>
  <c r="N136" i="1"/>
  <c r="J136" i="1"/>
  <c r="L136" i="1" s="1"/>
  <c r="I136" i="1"/>
  <c r="A136" i="1"/>
  <c r="T135" i="1"/>
  <c r="R135" i="1"/>
  <c r="N135" i="1"/>
  <c r="J135" i="1"/>
  <c r="L135" i="1" s="1"/>
  <c r="I135" i="1"/>
  <c r="A135" i="1"/>
  <c r="T134" i="1"/>
  <c r="R134" i="1"/>
  <c r="N134" i="1"/>
  <c r="J134" i="1"/>
  <c r="L134" i="1" s="1"/>
  <c r="I134" i="1"/>
  <c r="A134" i="1"/>
  <c r="T133" i="1"/>
  <c r="R133" i="1"/>
  <c r="N133" i="1"/>
  <c r="J133" i="1"/>
  <c r="L133" i="1" s="1"/>
  <c r="I133" i="1"/>
  <c r="A133" i="1"/>
  <c r="T132" i="1"/>
  <c r="R132" i="1"/>
  <c r="N132" i="1"/>
  <c r="J132" i="1"/>
  <c r="L132" i="1" s="1"/>
  <c r="I132" i="1"/>
  <c r="A132" i="1"/>
  <c r="T131" i="1"/>
  <c r="R131" i="1"/>
  <c r="N131" i="1"/>
  <c r="J131" i="1"/>
  <c r="L131" i="1" s="1"/>
  <c r="I131" i="1"/>
  <c r="A131" i="1"/>
  <c r="T130" i="1"/>
  <c r="R130" i="1"/>
  <c r="N130" i="1"/>
  <c r="J130" i="1"/>
  <c r="L130" i="1" s="1"/>
  <c r="I130" i="1"/>
  <c r="A130" i="1"/>
  <c r="T129" i="1"/>
  <c r="R129" i="1"/>
  <c r="N129" i="1"/>
  <c r="J129" i="1"/>
  <c r="L129" i="1" s="1"/>
  <c r="I129" i="1"/>
  <c r="A129" i="1"/>
  <c r="T128" i="1"/>
  <c r="R128" i="1"/>
  <c r="N128" i="1"/>
  <c r="J128" i="1"/>
  <c r="L128" i="1" s="1"/>
  <c r="I128" i="1"/>
  <c r="A128" i="1"/>
  <c r="T127" i="1"/>
  <c r="R127" i="1"/>
  <c r="N127" i="1"/>
  <c r="J127" i="1"/>
  <c r="L127" i="1" s="1"/>
  <c r="I127" i="1"/>
  <c r="A127" i="1"/>
  <c r="T126" i="1"/>
  <c r="R126" i="1"/>
  <c r="N126" i="1"/>
  <c r="J126" i="1"/>
  <c r="L126" i="1" s="1"/>
  <c r="I126" i="1"/>
  <c r="A126" i="1"/>
  <c r="T125" i="1"/>
  <c r="R125" i="1"/>
  <c r="N125" i="1"/>
  <c r="J125" i="1"/>
  <c r="L125" i="1" s="1"/>
  <c r="I125" i="1"/>
  <c r="A125" i="1"/>
  <c r="T124" i="1"/>
  <c r="R124" i="1"/>
  <c r="N124" i="1"/>
  <c r="J124" i="1"/>
  <c r="L124" i="1" s="1"/>
  <c r="I124" i="1"/>
  <c r="A124" i="1"/>
  <c r="T123" i="1"/>
  <c r="R123" i="1"/>
  <c r="N123" i="1"/>
  <c r="J123" i="1"/>
  <c r="L123" i="1" s="1"/>
  <c r="I123" i="1"/>
  <c r="A123" i="1"/>
  <c r="T122" i="1"/>
  <c r="R122" i="1"/>
  <c r="N122" i="1"/>
  <c r="J122" i="1"/>
  <c r="L122" i="1" s="1"/>
  <c r="I122" i="1"/>
  <c r="A122" i="1"/>
  <c r="T121" i="1"/>
  <c r="R121" i="1"/>
  <c r="N121" i="1"/>
  <c r="J121" i="1"/>
  <c r="L121" i="1" s="1"/>
  <c r="I121" i="1"/>
  <c r="A121" i="1"/>
  <c r="T120" i="1"/>
  <c r="R120" i="1"/>
  <c r="N120" i="1"/>
  <c r="J120" i="1"/>
  <c r="L120" i="1" s="1"/>
  <c r="I120" i="1"/>
  <c r="A120" i="1"/>
  <c r="T119" i="1"/>
  <c r="R119" i="1"/>
  <c r="N119" i="1"/>
  <c r="J119" i="1"/>
  <c r="L119" i="1" s="1"/>
  <c r="I119" i="1"/>
  <c r="A119" i="1"/>
  <c r="T118" i="1"/>
  <c r="R118" i="1"/>
  <c r="N118" i="1"/>
  <c r="J118" i="1"/>
  <c r="L118" i="1" s="1"/>
  <c r="I118" i="1"/>
  <c r="A118" i="1"/>
  <c r="T117" i="1"/>
  <c r="R117" i="1"/>
  <c r="N117" i="1"/>
  <c r="J117" i="1"/>
  <c r="L117" i="1" s="1"/>
  <c r="I117" i="1"/>
  <c r="A117" i="1"/>
  <c r="T116" i="1"/>
  <c r="R116" i="1"/>
  <c r="N116" i="1"/>
  <c r="J116" i="1"/>
  <c r="L116" i="1" s="1"/>
  <c r="I116" i="1"/>
  <c r="A116" i="1"/>
  <c r="T115" i="1"/>
  <c r="R115" i="1"/>
  <c r="N115" i="1"/>
  <c r="J115" i="1"/>
  <c r="L115" i="1" s="1"/>
  <c r="I115" i="1"/>
  <c r="A115" i="1"/>
  <c r="T114" i="1"/>
  <c r="R114" i="1"/>
  <c r="N114" i="1"/>
  <c r="J114" i="1"/>
  <c r="L114" i="1" s="1"/>
  <c r="I114" i="1"/>
  <c r="A114" i="1"/>
  <c r="T113" i="1"/>
  <c r="R113" i="1"/>
  <c r="N113" i="1"/>
  <c r="J113" i="1"/>
  <c r="L113" i="1" s="1"/>
  <c r="I113" i="1"/>
  <c r="A113" i="1"/>
  <c r="T112" i="1"/>
  <c r="R112" i="1"/>
  <c r="N112" i="1"/>
  <c r="J112" i="1"/>
  <c r="L112" i="1" s="1"/>
  <c r="I112" i="1"/>
  <c r="A112" i="1"/>
  <c r="T111" i="1"/>
  <c r="R111" i="1"/>
  <c r="N111" i="1"/>
  <c r="J111" i="1"/>
  <c r="L111" i="1" s="1"/>
  <c r="I111" i="1"/>
  <c r="A111" i="1"/>
  <c r="T110" i="1"/>
  <c r="R110" i="1"/>
  <c r="N110" i="1"/>
  <c r="J110" i="1"/>
  <c r="L110" i="1" s="1"/>
  <c r="I110" i="1"/>
  <c r="A110" i="1"/>
  <c r="T109" i="1"/>
  <c r="R109" i="1"/>
  <c r="N109" i="1"/>
  <c r="J109" i="1"/>
  <c r="L109" i="1" s="1"/>
  <c r="I109" i="1"/>
  <c r="A109" i="1"/>
  <c r="T108" i="1"/>
  <c r="R108" i="1"/>
  <c r="N108" i="1"/>
  <c r="J108" i="1"/>
  <c r="L108" i="1" s="1"/>
  <c r="I108" i="1"/>
  <c r="A108" i="1"/>
  <c r="T107" i="1"/>
  <c r="R107" i="1"/>
  <c r="N107" i="1"/>
  <c r="J107" i="1"/>
  <c r="L107" i="1" s="1"/>
  <c r="I107" i="1"/>
  <c r="A107" i="1"/>
  <c r="T106" i="1"/>
  <c r="R106" i="1"/>
  <c r="N106" i="1"/>
  <c r="J106" i="1"/>
  <c r="L106" i="1" s="1"/>
  <c r="I106" i="1"/>
  <c r="A106" i="1"/>
  <c r="T105" i="1"/>
  <c r="R105" i="1"/>
  <c r="N105" i="1"/>
  <c r="J105" i="1"/>
  <c r="L105" i="1" s="1"/>
  <c r="I105" i="1"/>
  <c r="A105" i="1"/>
  <c r="T104" i="1"/>
  <c r="R104" i="1"/>
  <c r="N104" i="1"/>
  <c r="J104" i="1"/>
  <c r="L104" i="1" s="1"/>
  <c r="I104" i="1"/>
  <c r="A104" i="1"/>
  <c r="T103" i="1"/>
  <c r="R103" i="1"/>
  <c r="N103" i="1"/>
  <c r="J103" i="1"/>
  <c r="L103" i="1" s="1"/>
  <c r="I103" i="1"/>
  <c r="A103" i="1"/>
  <c r="T102" i="1"/>
  <c r="R102" i="1"/>
  <c r="N102" i="1"/>
  <c r="J102" i="1"/>
  <c r="L102" i="1" s="1"/>
  <c r="I102" i="1"/>
  <c r="A102" i="1"/>
  <c r="T101" i="1"/>
  <c r="R101" i="1"/>
  <c r="N101" i="1"/>
  <c r="J101" i="1"/>
  <c r="L101" i="1" s="1"/>
  <c r="I101" i="1"/>
  <c r="A101" i="1"/>
  <c r="T100" i="1"/>
  <c r="R100" i="1"/>
  <c r="N100" i="1"/>
  <c r="J100" i="1"/>
  <c r="L100" i="1" s="1"/>
  <c r="I100" i="1"/>
  <c r="A100" i="1"/>
  <c r="T99" i="1"/>
  <c r="R99" i="1"/>
  <c r="N99" i="1"/>
  <c r="J99" i="1"/>
  <c r="L99" i="1" s="1"/>
  <c r="I99" i="1"/>
  <c r="A99" i="1"/>
  <c r="T98" i="1"/>
  <c r="R98" i="1"/>
  <c r="N98" i="1"/>
  <c r="J98" i="1"/>
  <c r="L98" i="1" s="1"/>
  <c r="I98" i="1"/>
  <c r="A98" i="1"/>
  <c r="T97" i="1"/>
  <c r="R97" i="1"/>
  <c r="N97" i="1"/>
  <c r="J97" i="1"/>
  <c r="L97" i="1" s="1"/>
  <c r="I97" i="1"/>
  <c r="A97" i="1"/>
  <c r="T96" i="1"/>
  <c r="R96" i="1"/>
  <c r="N96" i="1"/>
  <c r="J96" i="1"/>
  <c r="L96" i="1" s="1"/>
  <c r="I96" i="1"/>
  <c r="A96" i="1"/>
  <c r="T95" i="1"/>
  <c r="R95" i="1"/>
  <c r="N95" i="1"/>
  <c r="J95" i="1"/>
  <c r="L95" i="1" s="1"/>
  <c r="I95" i="1"/>
  <c r="A95" i="1"/>
  <c r="T94" i="1"/>
  <c r="R94" i="1"/>
  <c r="N94" i="1"/>
  <c r="J94" i="1"/>
  <c r="L94" i="1" s="1"/>
  <c r="I94" i="1"/>
  <c r="A94" i="1"/>
  <c r="T93" i="1"/>
  <c r="R93" i="1"/>
  <c r="N93" i="1"/>
  <c r="J93" i="1"/>
  <c r="L93" i="1" s="1"/>
  <c r="I93" i="1"/>
  <c r="A93" i="1"/>
  <c r="T92" i="1"/>
  <c r="R92" i="1"/>
  <c r="N92" i="1"/>
  <c r="J92" i="1"/>
  <c r="L92" i="1" s="1"/>
  <c r="I92" i="1"/>
  <c r="A92" i="1"/>
  <c r="T91" i="1"/>
  <c r="R91" i="1"/>
  <c r="N91" i="1"/>
  <c r="J91" i="1"/>
  <c r="L91" i="1" s="1"/>
  <c r="I91" i="1"/>
  <c r="A91" i="1"/>
  <c r="T90" i="1"/>
  <c r="R90" i="1"/>
  <c r="N90" i="1"/>
  <c r="J90" i="1"/>
  <c r="L90" i="1" s="1"/>
  <c r="I90" i="1"/>
  <c r="A90" i="1"/>
  <c r="T89" i="1"/>
  <c r="R89" i="1"/>
  <c r="N89" i="1"/>
  <c r="J89" i="1"/>
  <c r="L89" i="1" s="1"/>
  <c r="I89" i="1"/>
  <c r="A89" i="1"/>
  <c r="T88" i="1"/>
  <c r="R88" i="1"/>
  <c r="N88" i="1"/>
  <c r="J88" i="1"/>
  <c r="L88" i="1" s="1"/>
  <c r="I88" i="1"/>
  <c r="A88" i="1"/>
  <c r="T87" i="1"/>
  <c r="R87" i="1"/>
  <c r="N87" i="1"/>
  <c r="J87" i="1"/>
  <c r="L87" i="1" s="1"/>
  <c r="I87" i="1"/>
  <c r="A87" i="1"/>
  <c r="T86" i="1"/>
  <c r="R86" i="1"/>
  <c r="N86" i="1"/>
  <c r="J86" i="1"/>
  <c r="L86" i="1" s="1"/>
  <c r="I86" i="1"/>
  <c r="A86" i="1"/>
  <c r="T85" i="1"/>
  <c r="R85" i="1"/>
  <c r="N85" i="1"/>
  <c r="J85" i="1"/>
  <c r="L85" i="1" s="1"/>
  <c r="I85" i="1"/>
  <c r="A85" i="1"/>
  <c r="T84" i="1"/>
  <c r="R84" i="1"/>
  <c r="N84" i="1"/>
  <c r="J84" i="1"/>
  <c r="L84" i="1" s="1"/>
  <c r="I84" i="1"/>
  <c r="A84" i="1"/>
  <c r="T83" i="1"/>
  <c r="R83" i="1"/>
  <c r="N83" i="1"/>
  <c r="J83" i="1"/>
  <c r="L83" i="1" s="1"/>
  <c r="I83" i="1"/>
  <c r="A83" i="1"/>
  <c r="T82" i="1"/>
  <c r="R82" i="1"/>
  <c r="N82" i="1"/>
  <c r="J82" i="1"/>
  <c r="L82" i="1" s="1"/>
  <c r="I82" i="1"/>
  <c r="A82" i="1"/>
  <c r="T81" i="1"/>
  <c r="R81" i="1"/>
  <c r="N81" i="1"/>
  <c r="J81" i="1"/>
  <c r="L81" i="1" s="1"/>
  <c r="I81" i="1"/>
  <c r="A81" i="1"/>
  <c r="T80" i="1"/>
  <c r="R80" i="1"/>
  <c r="N80" i="1"/>
  <c r="J80" i="1"/>
  <c r="L80" i="1" s="1"/>
  <c r="I80" i="1"/>
  <c r="A80" i="1"/>
  <c r="T79" i="1"/>
  <c r="R79" i="1"/>
  <c r="N79" i="1"/>
  <c r="J79" i="1"/>
  <c r="L79" i="1" s="1"/>
  <c r="I79" i="1"/>
  <c r="A79" i="1"/>
  <c r="T78" i="1"/>
  <c r="R78" i="1"/>
  <c r="N78" i="1"/>
  <c r="J78" i="1"/>
  <c r="L78" i="1" s="1"/>
  <c r="I78" i="1"/>
  <c r="A78" i="1"/>
  <c r="T77" i="1"/>
  <c r="R77" i="1"/>
  <c r="N77" i="1"/>
  <c r="J77" i="1"/>
  <c r="L77" i="1" s="1"/>
  <c r="I77" i="1"/>
  <c r="A77" i="1"/>
  <c r="T76" i="1"/>
  <c r="R76" i="1"/>
  <c r="N76" i="1"/>
  <c r="J76" i="1"/>
  <c r="L76" i="1" s="1"/>
  <c r="I76" i="1"/>
  <c r="A76" i="1"/>
  <c r="T75" i="1"/>
  <c r="R75" i="1"/>
  <c r="N75" i="1"/>
  <c r="J75" i="1"/>
  <c r="L75" i="1" s="1"/>
  <c r="I75" i="1"/>
  <c r="A75" i="1"/>
  <c r="T74" i="1"/>
  <c r="R74" i="1"/>
  <c r="N74" i="1"/>
  <c r="J74" i="1"/>
  <c r="L74" i="1" s="1"/>
  <c r="I74" i="1"/>
  <c r="A74" i="1"/>
  <c r="T73" i="1"/>
  <c r="R73" i="1"/>
  <c r="N73" i="1"/>
  <c r="J73" i="1"/>
  <c r="L73" i="1" s="1"/>
  <c r="I73" i="1"/>
  <c r="A73" i="1"/>
  <c r="T72" i="1"/>
  <c r="R72" i="1"/>
  <c r="N72" i="1"/>
  <c r="J72" i="1"/>
  <c r="L72" i="1" s="1"/>
  <c r="I72" i="1"/>
  <c r="A72" i="1"/>
  <c r="T71" i="1"/>
  <c r="R71" i="1"/>
  <c r="N71" i="1"/>
  <c r="J71" i="1"/>
  <c r="L71" i="1" s="1"/>
  <c r="I71" i="1"/>
  <c r="A71" i="1"/>
  <c r="T70" i="1"/>
  <c r="R70" i="1"/>
  <c r="N70" i="1"/>
  <c r="J70" i="1"/>
  <c r="L70" i="1" s="1"/>
  <c r="I70" i="1"/>
  <c r="A70" i="1"/>
  <c r="T69" i="1"/>
  <c r="R69" i="1"/>
  <c r="N69" i="1"/>
  <c r="J69" i="1"/>
  <c r="L69" i="1" s="1"/>
  <c r="I69" i="1"/>
  <c r="A69" i="1"/>
  <c r="T68" i="1"/>
  <c r="R68" i="1"/>
  <c r="N68" i="1"/>
  <c r="J68" i="1"/>
  <c r="L68" i="1" s="1"/>
  <c r="I68" i="1"/>
  <c r="A68" i="1"/>
  <c r="T67" i="1"/>
  <c r="R67" i="1"/>
  <c r="N67" i="1"/>
  <c r="J67" i="1"/>
  <c r="L67" i="1" s="1"/>
  <c r="I67" i="1"/>
  <c r="A67" i="1"/>
  <c r="T66" i="1"/>
  <c r="R66" i="1"/>
  <c r="N66" i="1"/>
  <c r="J66" i="1"/>
  <c r="L66" i="1" s="1"/>
  <c r="I66" i="1"/>
  <c r="A66" i="1"/>
  <c r="T65" i="1"/>
  <c r="R65" i="1"/>
  <c r="N65" i="1"/>
  <c r="J65" i="1"/>
  <c r="L65" i="1" s="1"/>
  <c r="I65" i="1"/>
  <c r="A65" i="1"/>
  <c r="T64" i="1"/>
  <c r="R64" i="1"/>
  <c r="N64" i="1"/>
  <c r="J64" i="1"/>
  <c r="L64" i="1" s="1"/>
  <c r="I64" i="1"/>
  <c r="A64" i="1"/>
  <c r="T63" i="1"/>
  <c r="R63" i="1"/>
  <c r="N63" i="1"/>
  <c r="J63" i="1"/>
  <c r="L63" i="1" s="1"/>
  <c r="I63" i="1"/>
  <c r="A63" i="1"/>
  <c r="T62" i="1"/>
  <c r="R62" i="1"/>
  <c r="N62" i="1"/>
  <c r="J62" i="1"/>
  <c r="L62" i="1" s="1"/>
  <c r="I62" i="1"/>
  <c r="A62" i="1"/>
  <c r="T61" i="1"/>
  <c r="R61" i="1"/>
  <c r="N61" i="1"/>
  <c r="J61" i="1"/>
  <c r="L61" i="1" s="1"/>
  <c r="I61" i="1"/>
  <c r="A61" i="1"/>
  <c r="T60" i="1"/>
  <c r="R60" i="1"/>
  <c r="N60" i="1"/>
  <c r="J60" i="1"/>
  <c r="L60" i="1" s="1"/>
  <c r="I60" i="1"/>
  <c r="A60" i="1"/>
  <c r="T59" i="1"/>
  <c r="R59" i="1"/>
  <c r="N59" i="1"/>
  <c r="J59" i="1"/>
  <c r="L59" i="1" s="1"/>
  <c r="I59" i="1"/>
  <c r="A59" i="1"/>
  <c r="T58" i="1"/>
  <c r="R58" i="1"/>
  <c r="N58" i="1"/>
  <c r="J58" i="1"/>
  <c r="L58" i="1" s="1"/>
  <c r="I58" i="1"/>
  <c r="A58" i="1"/>
  <c r="T57" i="1"/>
  <c r="R57" i="1"/>
  <c r="N57" i="1"/>
  <c r="J57" i="1"/>
  <c r="L57" i="1" s="1"/>
  <c r="I57" i="1"/>
  <c r="A57" i="1"/>
  <c r="T56" i="1"/>
  <c r="R56" i="1"/>
  <c r="N56" i="1"/>
  <c r="J56" i="1"/>
  <c r="L56" i="1" s="1"/>
  <c r="I56" i="1"/>
  <c r="A56" i="1"/>
  <c r="T55" i="1"/>
  <c r="R55" i="1"/>
  <c r="N55" i="1"/>
  <c r="J55" i="1"/>
  <c r="L55" i="1" s="1"/>
  <c r="I55" i="1"/>
  <c r="A55" i="1"/>
  <c r="T54" i="1"/>
  <c r="R54" i="1"/>
  <c r="N54" i="1"/>
  <c r="J54" i="1"/>
  <c r="L54" i="1" s="1"/>
  <c r="I54" i="1"/>
  <c r="A54" i="1"/>
  <c r="T53" i="1"/>
  <c r="R53" i="1"/>
  <c r="N53" i="1"/>
  <c r="J53" i="1"/>
  <c r="L53" i="1" s="1"/>
  <c r="I53" i="1"/>
  <c r="A53" i="1"/>
  <c r="T52" i="1"/>
  <c r="R52" i="1"/>
  <c r="N52" i="1"/>
  <c r="J52" i="1"/>
  <c r="L52" i="1" s="1"/>
  <c r="I52" i="1"/>
  <c r="A52" i="1"/>
  <c r="T51" i="1"/>
  <c r="R51" i="1"/>
  <c r="N51" i="1"/>
  <c r="J51" i="1"/>
  <c r="L51" i="1" s="1"/>
  <c r="I51" i="1"/>
  <c r="A51" i="1"/>
  <c r="T50" i="1"/>
  <c r="R50" i="1"/>
  <c r="N50" i="1"/>
  <c r="J50" i="1"/>
  <c r="L50" i="1" s="1"/>
  <c r="I50" i="1"/>
  <c r="A50" i="1"/>
  <c r="T49" i="1"/>
  <c r="R49" i="1"/>
  <c r="N49" i="1"/>
  <c r="J49" i="1"/>
  <c r="L49" i="1" s="1"/>
  <c r="I49" i="1"/>
  <c r="A49" i="1"/>
  <c r="T48" i="1"/>
  <c r="R48" i="1"/>
  <c r="N48" i="1"/>
  <c r="J48" i="1"/>
  <c r="L48" i="1" s="1"/>
  <c r="I48" i="1"/>
  <c r="A48" i="1"/>
  <c r="T47" i="1"/>
  <c r="R47" i="1"/>
  <c r="N47" i="1"/>
  <c r="J47" i="1"/>
  <c r="L47" i="1" s="1"/>
  <c r="I47" i="1"/>
  <c r="A47" i="1"/>
  <c r="T46" i="1"/>
  <c r="R46" i="1"/>
  <c r="N46" i="1"/>
  <c r="J46" i="1"/>
  <c r="L46" i="1" s="1"/>
  <c r="I46" i="1"/>
  <c r="A46" i="1"/>
  <c r="T45" i="1"/>
  <c r="R45" i="1"/>
  <c r="N45" i="1"/>
  <c r="J45" i="1"/>
  <c r="L45" i="1" s="1"/>
  <c r="I45" i="1"/>
  <c r="A45" i="1"/>
  <c r="T44" i="1"/>
  <c r="R44" i="1"/>
  <c r="N44" i="1"/>
  <c r="J44" i="1"/>
  <c r="L44" i="1" s="1"/>
  <c r="I44" i="1"/>
  <c r="A44" i="1"/>
  <c r="T43" i="1"/>
  <c r="R43" i="1"/>
  <c r="N43" i="1"/>
  <c r="J43" i="1"/>
  <c r="L43" i="1" s="1"/>
  <c r="I43" i="1"/>
  <c r="A43" i="1"/>
  <c r="T42" i="1"/>
  <c r="R42" i="1"/>
  <c r="N42" i="1"/>
  <c r="J42" i="1"/>
  <c r="L42" i="1" s="1"/>
  <c r="I42" i="1"/>
  <c r="A42" i="1"/>
  <c r="T41" i="1"/>
  <c r="R41" i="1"/>
  <c r="N41" i="1"/>
  <c r="J41" i="1"/>
  <c r="L41" i="1" s="1"/>
  <c r="I41" i="1"/>
  <c r="A41" i="1"/>
  <c r="T40" i="1"/>
  <c r="R40" i="1"/>
  <c r="N40" i="1"/>
  <c r="J40" i="1"/>
  <c r="L40" i="1" s="1"/>
  <c r="I40" i="1"/>
  <c r="A40" i="1"/>
  <c r="T39" i="1"/>
  <c r="R39" i="1"/>
  <c r="N39" i="1"/>
  <c r="J39" i="1"/>
  <c r="L39" i="1" s="1"/>
  <c r="I39" i="1"/>
  <c r="A39" i="1"/>
  <c r="T38" i="1"/>
  <c r="R38" i="1"/>
  <c r="N38" i="1"/>
  <c r="J38" i="1"/>
  <c r="L38" i="1" s="1"/>
  <c r="I38" i="1"/>
  <c r="A38" i="1"/>
  <c r="T37" i="1"/>
  <c r="R37" i="1"/>
  <c r="N37" i="1"/>
  <c r="J37" i="1"/>
  <c r="L37" i="1" s="1"/>
  <c r="I37" i="1"/>
  <c r="A37" i="1"/>
  <c r="T36" i="1"/>
  <c r="R36" i="1"/>
  <c r="N36" i="1"/>
  <c r="J36" i="1"/>
  <c r="L36" i="1" s="1"/>
  <c r="I36" i="1"/>
  <c r="A36" i="1"/>
  <c r="T35" i="1"/>
  <c r="R35" i="1"/>
  <c r="N35" i="1"/>
  <c r="J35" i="1"/>
  <c r="L35" i="1" s="1"/>
  <c r="I35" i="1"/>
  <c r="A35" i="1"/>
  <c r="T34" i="1"/>
  <c r="R34" i="1"/>
  <c r="N34" i="1"/>
  <c r="J34" i="1"/>
  <c r="L34" i="1" s="1"/>
  <c r="I34" i="1"/>
  <c r="A34" i="1"/>
  <c r="T33" i="1"/>
  <c r="R33" i="1"/>
  <c r="N33" i="1"/>
  <c r="J33" i="1"/>
  <c r="L33" i="1" s="1"/>
  <c r="I33" i="1"/>
  <c r="A33" i="1"/>
  <c r="T32" i="1"/>
  <c r="R32" i="1"/>
  <c r="N32" i="1"/>
  <c r="J32" i="1"/>
  <c r="L32" i="1" s="1"/>
  <c r="I32" i="1"/>
  <c r="A32" i="1"/>
  <c r="T31" i="1"/>
  <c r="R31" i="1"/>
  <c r="N31" i="1"/>
  <c r="J31" i="1"/>
  <c r="L31" i="1" s="1"/>
  <c r="I31" i="1"/>
  <c r="A31" i="1"/>
  <c r="T30" i="1"/>
  <c r="R30" i="1"/>
  <c r="N30" i="1"/>
  <c r="J30" i="1"/>
  <c r="L30" i="1" s="1"/>
  <c r="I30" i="1"/>
  <c r="A30" i="1"/>
  <c r="T29" i="1"/>
  <c r="R29" i="1"/>
  <c r="N29" i="1"/>
  <c r="J29" i="1"/>
  <c r="L29" i="1" s="1"/>
  <c r="I29" i="1"/>
  <c r="A29" i="1"/>
  <c r="T28" i="1"/>
  <c r="R28" i="1"/>
  <c r="N28" i="1"/>
  <c r="J28" i="1"/>
  <c r="L28" i="1" s="1"/>
  <c r="I28" i="1"/>
  <c r="A28" i="1"/>
  <c r="T27" i="1"/>
  <c r="R27" i="1"/>
  <c r="N27" i="1"/>
  <c r="J27" i="1"/>
  <c r="L27" i="1" s="1"/>
  <c r="I27" i="1"/>
  <c r="A27" i="1"/>
  <c r="T26" i="1"/>
  <c r="R26" i="1"/>
  <c r="N26" i="1"/>
  <c r="J26" i="1"/>
  <c r="L26" i="1" s="1"/>
  <c r="I26" i="1"/>
  <c r="A26" i="1"/>
  <c r="T25" i="1"/>
  <c r="R25" i="1"/>
  <c r="N25" i="1"/>
  <c r="J25" i="1"/>
  <c r="L25" i="1" s="1"/>
  <c r="I25" i="1"/>
  <c r="A25" i="1"/>
  <c r="T24" i="1"/>
  <c r="R24" i="1"/>
  <c r="N24" i="1"/>
  <c r="J24" i="1"/>
  <c r="L24" i="1" s="1"/>
  <c r="I24" i="1"/>
  <c r="A24" i="1"/>
  <c r="T23" i="1"/>
  <c r="R23" i="1"/>
  <c r="N23" i="1"/>
  <c r="J23" i="1"/>
  <c r="L23" i="1" s="1"/>
  <c r="I23" i="1"/>
  <c r="A23" i="1"/>
  <c r="T22" i="1"/>
  <c r="R22" i="1"/>
  <c r="N22" i="1"/>
  <c r="J22" i="1"/>
  <c r="L22" i="1" s="1"/>
  <c r="I22" i="1"/>
  <c r="A22" i="1"/>
  <c r="T21" i="1"/>
  <c r="R21" i="1"/>
  <c r="N21" i="1"/>
  <c r="J21" i="1"/>
  <c r="L21" i="1" s="1"/>
  <c r="I21" i="1"/>
  <c r="A21" i="1"/>
  <c r="T20" i="1"/>
  <c r="R20" i="1"/>
  <c r="N20" i="1"/>
  <c r="J20" i="1"/>
  <c r="L20" i="1" s="1"/>
  <c r="I20" i="1"/>
  <c r="A20" i="1"/>
  <c r="T19" i="1"/>
  <c r="R19" i="1"/>
  <c r="N19" i="1"/>
  <c r="J19" i="1"/>
  <c r="L19" i="1" s="1"/>
  <c r="I19" i="1"/>
  <c r="A19" i="1"/>
  <c r="T18" i="1"/>
  <c r="R18" i="1"/>
  <c r="N18" i="1"/>
  <c r="J18" i="1"/>
  <c r="L18" i="1" s="1"/>
  <c r="I18" i="1"/>
  <c r="A18" i="1"/>
  <c r="T17" i="1"/>
  <c r="R17" i="1"/>
  <c r="N17" i="1"/>
  <c r="J17" i="1"/>
  <c r="L17" i="1" s="1"/>
  <c r="I17" i="1"/>
  <c r="A17" i="1"/>
  <c r="T16" i="1"/>
  <c r="R16" i="1"/>
  <c r="N16" i="1"/>
  <c r="J16" i="1"/>
  <c r="L16" i="1" s="1"/>
  <c r="I16" i="1"/>
  <c r="A16" i="1"/>
  <c r="T15" i="1"/>
  <c r="R15" i="1"/>
  <c r="N15" i="1"/>
  <c r="J15" i="1"/>
  <c r="L15" i="1" s="1"/>
  <c r="I15" i="1"/>
  <c r="A15" i="1"/>
  <c r="T14" i="1"/>
  <c r="R14" i="1"/>
  <c r="N14" i="1"/>
  <c r="J14" i="1"/>
  <c r="L14" i="1" s="1"/>
  <c r="I14" i="1"/>
  <c r="A14" i="1"/>
  <c r="T13" i="1"/>
  <c r="R13" i="1"/>
  <c r="N13" i="1"/>
  <c r="J13" i="1"/>
  <c r="L13" i="1" s="1"/>
  <c r="I13" i="1"/>
  <c r="A13" i="1"/>
  <c r="T12" i="1"/>
  <c r="R12" i="1"/>
  <c r="N12" i="1"/>
  <c r="J12" i="1"/>
  <c r="L12" i="1" s="1"/>
  <c r="I12" i="1"/>
  <c r="A12" i="1"/>
  <c r="T11" i="1"/>
  <c r="R11" i="1"/>
  <c r="N11" i="1"/>
  <c r="J11" i="1"/>
  <c r="L11" i="1" s="1"/>
  <c r="I11" i="1"/>
  <c r="A11" i="1"/>
  <c r="J10" i="1"/>
  <c r="L10" i="1" s="1"/>
  <c r="I10" i="1"/>
  <c r="R10" i="1" s="1"/>
  <c r="I9" i="1"/>
  <c r="R9" i="1" s="1"/>
  <c r="J8" i="1"/>
  <c r="L8" i="1" s="1"/>
  <c r="I8" i="1"/>
  <c r="R8" i="1" s="1"/>
  <c r="J7" i="1"/>
  <c r="L7" i="1" s="1"/>
  <c r="I7" i="1"/>
  <c r="J6" i="1" s="1"/>
  <c r="L6" i="1" s="1"/>
  <c r="I6" i="1"/>
  <c r="R6" i="1" s="1"/>
  <c r="I5" i="1"/>
  <c r="R5" i="1" s="1"/>
  <c r="R4" i="1"/>
  <c r="I4" i="1"/>
  <c r="R3" i="1"/>
  <c r="K3" i="1"/>
  <c r="J3" i="1"/>
  <c r="L3" i="1" s="1"/>
  <c r="I3" i="1"/>
  <c r="A3" i="1"/>
  <c r="T3" i="1" s="1"/>
  <c r="D198" i="5"/>
  <c r="E197" i="5"/>
  <c r="F196" i="5"/>
  <c r="D194" i="5"/>
  <c r="E193" i="5"/>
  <c r="F192" i="5"/>
  <c r="D190" i="5"/>
  <c r="E189" i="5"/>
  <c r="F188" i="5"/>
  <c r="D186" i="5"/>
  <c r="E185" i="5"/>
  <c r="F184" i="5"/>
  <c r="D182" i="5"/>
  <c r="E181" i="5"/>
  <c r="F180" i="5"/>
  <c r="D178" i="5"/>
  <c r="E177" i="5"/>
  <c r="F176" i="5"/>
  <c r="D174" i="5"/>
  <c r="E173" i="5"/>
  <c r="F172" i="5"/>
  <c r="D170" i="5"/>
  <c r="E169" i="5"/>
  <c r="F168" i="5"/>
  <c r="D166" i="5"/>
  <c r="E165" i="5"/>
  <c r="F164" i="5"/>
  <c r="D162" i="5"/>
  <c r="E161" i="5"/>
  <c r="F160" i="5"/>
  <c r="D158" i="5"/>
  <c r="E157" i="5"/>
  <c r="F156" i="5"/>
  <c r="D154" i="5"/>
  <c r="E153" i="5"/>
  <c r="F152" i="5"/>
  <c r="D150" i="5"/>
  <c r="E149" i="5"/>
  <c r="F148" i="5"/>
  <c r="D146" i="5"/>
  <c r="E145" i="5"/>
  <c r="F144" i="5"/>
  <c r="D142" i="5"/>
  <c r="E141" i="5"/>
  <c r="F140" i="5"/>
  <c r="D138" i="5"/>
  <c r="E137" i="5"/>
  <c r="F136" i="5"/>
  <c r="D134" i="5"/>
  <c r="E133" i="5"/>
  <c r="F132" i="5"/>
  <c r="D130" i="5"/>
  <c r="E129" i="5"/>
  <c r="F128" i="5"/>
  <c r="D126" i="5"/>
  <c r="E125" i="5"/>
  <c r="F124" i="5"/>
  <c r="D122" i="5"/>
  <c r="E121" i="5"/>
  <c r="F120" i="5"/>
  <c r="D118" i="5"/>
  <c r="E117" i="5"/>
  <c r="F116" i="5"/>
  <c r="D114" i="5"/>
  <c r="E113" i="5"/>
  <c r="F112" i="5"/>
  <c r="D110" i="5"/>
  <c r="E109" i="5"/>
  <c r="F108" i="5"/>
  <c r="D106" i="5"/>
  <c r="E105" i="5"/>
  <c r="F104" i="5"/>
  <c r="D102" i="5"/>
  <c r="E101" i="5"/>
  <c r="F100" i="5"/>
  <c r="D98" i="5"/>
  <c r="E97" i="5"/>
  <c r="F96" i="5"/>
  <c r="D94" i="5"/>
  <c r="E93" i="5"/>
  <c r="F92" i="5"/>
  <c r="D90" i="5"/>
  <c r="E89" i="5"/>
  <c r="F88" i="5"/>
  <c r="F199" i="5"/>
  <c r="D197" i="5"/>
  <c r="E196" i="5"/>
  <c r="F195" i="5"/>
  <c r="D193" i="5"/>
  <c r="E192" i="5"/>
  <c r="F191" i="5"/>
  <c r="D189" i="5"/>
  <c r="E188" i="5"/>
  <c r="F187" i="5"/>
  <c r="D185" i="5"/>
  <c r="E184" i="5"/>
  <c r="F183" i="5"/>
  <c r="D181" i="5"/>
  <c r="E180" i="5"/>
  <c r="F179" i="5"/>
  <c r="D177" i="5"/>
  <c r="E176" i="5"/>
  <c r="F175" i="5"/>
  <c r="D173" i="5"/>
  <c r="E172" i="5"/>
  <c r="F171" i="5"/>
  <c r="D169" i="5"/>
  <c r="E168" i="5"/>
  <c r="F167" i="5"/>
  <c r="D165" i="5"/>
  <c r="E164" i="5"/>
  <c r="F163" i="5"/>
  <c r="D161" i="5"/>
  <c r="E160" i="5"/>
  <c r="F159" i="5"/>
  <c r="D157" i="5"/>
  <c r="E156" i="5"/>
  <c r="F155" i="5"/>
  <c r="D153" i="5"/>
  <c r="E152" i="5"/>
  <c r="F151" i="5"/>
  <c r="D149" i="5"/>
  <c r="E148" i="5"/>
  <c r="F147" i="5"/>
  <c r="D145" i="5"/>
  <c r="E144" i="5"/>
  <c r="F143" i="5"/>
  <c r="D141" i="5"/>
  <c r="E140" i="5"/>
  <c r="F139" i="5"/>
  <c r="D137" i="5"/>
  <c r="E136" i="5"/>
  <c r="F135" i="5"/>
  <c r="D133" i="5"/>
  <c r="E132" i="5"/>
  <c r="F131" i="5"/>
  <c r="D129" i="5"/>
  <c r="E128" i="5"/>
  <c r="F127" i="5"/>
  <c r="D125" i="5"/>
  <c r="E124" i="5"/>
  <c r="F123" i="5"/>
  <c r="D121" i="5"/>
  <c r="E120" i="5"/>
  <c r="F119" i="5"/>
  <c r="D117" i="5"/>
  <c r="E116" i="5"/>
  <c r="F115" i="5"/>
  <c r="D113" i="5"/>
  <c r="E112" i="5"/>
  <c r="F111" i="5"/>
  <c r="D109" i="5"/>
  <c r="E108" i="5"/>
  <c r="F107" i="5"/>
  <c r="D105" i="5"/>
  <c r="E104" i="5"/>
  <c r="F103" i="5"/>
  <c r="D101" i="5"/>
  <c r="E100" i="5"/>
  <c r="F99" i="5"/>
  <c r="D97" i="5"/>
  <c r="E96" i="5"/>
  <c r="F95" i="5"/>
  <c r="D93" i="5"/>
  <c r="E92" i="5"/>
  <c r="F91" i="5"/>
  <c r="D89" i="5"/>
  <c r="E88" i="5"/>
  <c r="F87" i="5"/>
  <c r="E199" i="5"/>
  <c r="E198" i="5"/>
  <c r="E195" i="5"/>
  <c r="E194" i="5"/>
  <c r="E191" i="5"/>
  <c r="E190" i="5"/>
  <c r="E187" i="5"/>
  <c r="E186" i="5"/>
  <c r="E183" i="5"/>
  <c r="E182" i="5"/>
  <c r="E179" i="5"/>
  <c r="E178" i="5"/>
  <c r="E175" i="5"/>
  <c r="E174" i="5"/>
  <c r="E171" i="5"/>
  <c r="E170" i="5"/>
  <c r="E167" i="5"/>
  <c r="E166" i="5"/>
  <c r="E163" i="5"/>
  <c r="E162" i="5"/>
  <c r="E159" i="5"/>
  <c r="E158" i="5"/>
  <c r="E155" i="5"/>
  <c r="E154" i="5"/>
  <c r="E151" i="5"/>
  <c r="E150" i="5"/>
  <c r="E147" i="5"/>
  <c r="E146" i="5"/>
  <c r="E143" i="5"/>
  <c r="E142" i="5"/>
  <c r="E139" i="5"/>
  <c r="E138" i="5"/>
  <c r="E135" i="5"/>
  <c r="E134" i="5"/>
  <c r="E131" i="5"/>
  <c r="E130" i="5"/>
  <c r="E127" i="5"/>
  <c r="E126" i="5"/>
  <c r="E123" i="5"/>
  <c r="E122" i="5"/>
  <c r="E119" i="5"/>
  <c r="E118" i="5"/>
  <c r="E115" i="5"/>
  <c r="E114" i="5"/>
  <c r="E111" i="5"/>
  <c r="E110" i="5"/>
  <c r="E107" i="5"/>
  <c r="E106" i="5"/>
  <c r="E103" i="5"/>
  <c r="E102" i="5"/>
  <c r="E99" i="5"/>
  <c r="E98" i="5"/>
  <c r="E95" i="5"/>
  <c r="E94" i="5"/>
  <c r="E91" i="5"/>
  <c r="E90" i="5"/>
  <c r="E87" i="5"/>
  <c r="F86" i="5"/>
  <c r="D84" i="5"/>
  <c r="E83" i="5"/>
  <c r="F82" i="5"/>
  <c r="D80" i="5"/>
  <c r="E79" i="5"/>
  <c r="F78" i="5"/>
  <c r="D76" i="5"/>
  <c r="E75" i="5"/>
  <c r="F74" i="5"/>
  <c r="D72" i="5"/>
  <c r="E71" i="5"/>
  <c r="F70" i="5"/>
  <c r="D68" i="5"/>
  <c r="E67" i="5"/>
  <c r="F66" i="5"/>
  <c r="D64" i="5"/>
  <c r="E63" i="5"/>
  <c r="F62" i="5"/>
  <c r="D60" i="5"/>
  <c r="E59" i="5"/>
  <c r="F58" i="5"/>
  <c r="D56" i="5"/>
  <c r="E55" i="5"/>
  <c r="F54" i="5"/>
  <c r="D52" i="5"/>
  <c r="E51" i="5"/>
  <c r="F50" i="5"/>
  <c r="D48" i="5"/>
  <c r="E47" i="5"/>
  <c r="F46" i="5"/>
  <c r="D44" i="5"/>
  <c r="E43" i="5"/>
  <c r="F42" i="5"/>
  <c r="D40" i="5"/>
  <c r="E39" i="5"/>
  <c r="F38" i="5"/>
  <c r="D36" i="5"/>
  <c r="E35" i="5"/>
  <c r="F34" i="5"/>
  <c r="D32" i="5"/>
  <c r="E31" i="5"/>
  <c r="F30" i="5"/>
  <c r="D28" i="5"/>
  <c r="E27" i="5"/>
  <c r="F26" i="5"/>
  <c r="D24" i="5"/>
  <c r="E23" i="5"/>
  <c r="F22" i="5"/>
  <c r="D20" i="5"/>
  <c r="E19" i="5"/>
  <c r="F18" i="5"/>
  <c r="D16" i="5"/>
  <c r="E15" i="5"/>
  <c r="F14" i="5"/>
  <c r="D12" i="5"/>
  <c r="E11" i="5"/>
  <c r="F10" i="5"/>
  <c r="D8" i="5"/>
  <c r="E7" i="5"/>
  <c r="F6" i="5"/>
  <c r="D4" i="5"/>
  <c r="E3" i="5"/>
  <c r="F2" i="5"/>
  <c r="D199" i="5"/>
  <c r="D195" i="5"/>
  <c r="D191" i="5"/>
  <c r="D187" i="5"/>
  <c r="D183" i="5"/>
  <c r="D179" i="5"/>
  <c r="D175" i="5"/>
  <c r="D171" i="5"/>
  <c r="D167" i="5"/>
  <c r="D163" i="5"/>
  <c r="D159" i="5"/>
  <c r="D155" i="5"/>
  <c r="D151" i="5"/>
  <c r="D147" i="5"/>
  <c r="D143" i="5"/>
  <c r="D139" i="5"/>
  <c r="D135" i="5"/>
  <c r="D131" i="5"/>
  <c r="D127" i="5"/>
  <c r="D123" i="5"/>
  <c r="D119" i="5"/>
  <c r="D115" i="5"/>
  <c r="D111" i="5"/>
  <c r="D107" i="5"/>
  <c r="D103" i="5"/>
  <c r="D99" i="5"/>
  <c r="D95" i="5"/>
  <c r="D91" i="5"/>
  <c r="D87" i="5"/>
  <c r="E86" i="5"/>
  <c r="F85" i="5"/>
  <c r="D83" i="5"/>
  <c r="E82" i="5"/>
  <c r="F81" i="5"/>
  <c r="D79" i="5"/>
  <c r="E78" i="5"/>
  <c r="F77" i="5"/>
  <c r="D75" i="5"/>
  <c r="E74" i="5"/>
  <c r="F73" i="5"/>
  <c r="D71" i="5"/>
  <c r="E70" i="5"/>
  <c r="F69" i="5"/>
  <c r="D67" i="5"/>
  <c r="E66" i="5"/>
  <c r="F65" i="5"/>
  <c r="D63" i="5"/>
  <c r="E62" i="5"/>
  <c r="F61" i="5"/>
  <c r="D59" i="5"/>
  <c r="E58" i="5"/>
  <c r="F57" i="5"/>
  <c r="D55" i="5"/>
  <c r="E54" i="5"/>
  <c r="F53" i="5"/>
  <c r="D51" i="5"/>
  <c r="E50" i="5"/>
  <c r="F49" i="5"/>
  <c r="D47" i="5"/>
  <c r="E46" i="5"/>
  <c r="F45" i="5"/>
  <c r="D43" i="5"/>
  <c r="E42" i="5"/>
  <c r="F41" i="5"/>
  <c r="D39" i="5"/>
  <c r="E38" i="5"/>
  <c r="F37" i="5"/>
  <c r="D35" i="5"/>
  <c r="E34" i="5"/>
  <c r="F33" i="5"/>
  <c r="D31" i="5"/>
  <c r="E30" i="5"/>
  <c r="F29" i="5"/>
  <c r="D27" i="5"/>
  <c r="E26" i="5"/>
  <c r="F25" i="5"/>
  <c r="D23" i="5"/>
  <c r="E22" i="5"/>
  <c r="F21" i="5"/>
  <c r="D19" i="5"/>
  <c r="E18" i="5"/>
  <c r="F17" i="5"/>
  <c r="D15" i="5"/>
  <c r="E14" i="5"/>
  <c r="F13" i="5"/>
  <c r="D11" i="5"/>
  <c r="E10" i="5"/>
  <c r="F9" i="5"/>
  <c r="D7" i="5"/>
  <c r="E6" i="5"/>
  <c r="F5" i="5"/>
  <c r="D3" i="5"/>
  <c r="E2" i="5"/>
  <c r="F197" i="5"/>
  <c r="F193" i="5"/>
  <c r="F189" i="5"/>
  <c r="F185" i="5"/>
  <c r="F181" i="5"/>
  <c r="F177" i="5"/>
  <c r="F173" i="5"/>
  <c r="F169" i="5"/>
  <c r="F165" i="5"/>
  <c r="F161" i="5"/>
  <c r="F157" i="5"/>
  <c r="F153" i="5"/>
  <c r="F149" i="5"/>
  <c r="F145" i="5"/>
  <c r="F141" i="5"/>
  <c r="F137" i="5"/>
  <c r="F133" i="5"/>
  <c r="F129" i="5"/>
  <c r="F125" i="5"/>
  <c r="F121" i="5"/>
  <c r="F117" i="5"/>
  <c r="F113" i="5"/>
  <c r="F109" i="5"/>
  <c r="F105" i="5"/>
  <c r="F101" i="5"/>
  <c r="F97" i="5"/>
  <c r="F93" i="5"/>
  <c r="F89" i="5"/>
  <c r="E85" i="5"/>
  <c r="E84" i="5"/>
  <c r="E81" i="5"/>
  <c r="E80" i="5"/>
  <c r="E77" i="5"/>
  <c r="E76" i="5"/>
  <c r="E73" i="5"/>
  <c r="E72" i="5"/>
  <c r="E69" i="5"/>
  <c r="E68" i="5"/>
  <c r="E65" i="5"/>
  <c r="E64" i="5"/>
  <c r="E61" i="5"/>
  <c r="E60" i="5"/>
  <c r="E57" i="5"/>
  <c r="E56" i="5"/>
  <c r="E53" i="5"/>
  <c r="E52" i="5"/>
  <c r="E49" i="5"/>
  <c r="E48" i="5"/>
  <c r="E45" i="5"/>
  <c r="E44" i="5"/>
  <c r="E41" i="5"/>
  <c r="E40" i="5"/>
  <c r="E37" i="5"/>
  <c r="E36" i="5"/>
  <c r="E33" i="5"/>
  <c r="E32" i="5"/>
  <c r="E29" i="5"/>
  <c r="E28" i="5"/>
  <c r="E25" i="5"/>
  <c r="E24" i="5"/>
  <c r="E21" i="5"/>
  <c r="E20" i="5"/>
  <c r="E17" i="5"/>
  <c r="E16" i="5"/>
  <c r="E13" i="5"/>
  <c r="E12" i="5"/>
  <c r="E9" i="5"/>
  <c r="D6" i="5"/>
  <c r="F4" i="5"/>
  <c r="D192" i="5"/>
  <c r="D188" i="5"/>
  <c r="D180" i="5"/>
  <c r="D172" i="5"/>
  <c r="D164" i="5"/>
  <c r="D156" i="5"/>
  <c r="D148" i="5"/>
  <c r="D140" i="5"/>
  <c r="D132" i="5"/>
  <c r="D124" i="5"/>
  <c r="D116" i="5"/>
  <c r="D108" i="5"/>
  <c r="D100" i="5"/>
  <c r="D92" i="5"/>
  <c r="D86" i="5"/>
  <c r="D82" i="5"/>
  <c r="D78" i="5"/>
  <c r="D66" i="5"/>
  <c r="D62" i="5"/>
  <c r="D54" i="5"/>
  <c r="D46" i="5"/>
  <c r="D38" i="5"/>
  <c r="D30" i="5"/>
  <c r="D22" i="5"/>
  <c r="D14" i="5"/>
  <c r="D10" i="5"/>
  <c r="F198" i="5"/>
  <c r="F194" i="5"/>
  <c r="F190" i="5"/>
  <c r="F186" i="5"/>
  <c r="F182" i="5"/>
  <c r="F178" i="5"/>
  <c r="F174" i="5"/>
  <c r="F170" i="5"/>
  <c r="F166" i="5"/>
  <c r="F162" i="5"/>
  <c r="F158" i="5"/>
  <c r="F154" i="5"/>
  <c r="F150" i="5"/>
  <c r="F146" i="5"/>
  <c r="F142" i="5"/>
  <c r="F138" i="5"/>
  <c r="F134" i="5"/>
  <c r="F130" i="5"/>
  <c r="F126" i="5"/>
  <c r="F122" i="5"/>
  <c r="F118" i="5"/>
  <c r="F114" i="5"/>
  <c r="F110" i="5"/>
  <c r="F106" i="5"/>
  <c r="F102" i="5"/>
  <c r="F98" i="5"/>
  <c r="F94" i="5"/>
  <c r="F90" i="5"/>
  <c r="D85" i="5"/>
  <c r="D81" i="5"/>
  <c r="D77" i="5"/>
  <c r="D73" i="5"/>
  <c r="D69" i="5"/>
  <c r="D65" i="5"/>
  <c r="D61" i="5"/>
  <c r="D57" i="5"/>
  <c r="D53" i="5"/>
  <c r="D49" i="5"/>
  <c r="D45" i="5"/>
  <c r="D41" i="5"/>
  <c r="D37" i="5"/>
  <c r="D33" i="5"/>
  <c r="D29" i="5"/>
  <c r="D25" i="5"/>
  <c r="D21" i="5"/>
  <c r="D17" i="5"/>
  <c r="D13" i="5"/>
  <c r="D9" i="5"/>
  <c r="F7" i="5"/>
  <c r="E4" i="5"/>
  <c r="D196" i="5"/>
  <c r="D184" i="5"/>
  <c r="D176" i="5"/>
  <c r="D168" i="5"/>
  <c r="D160" i="5"/>
  <c r="D152" i="5"/>
  <c r="D144" i="5"/>
  <c r="D136" i="5"/>
  <c r="D128" i="5"/>
  <c r="D120" i="5"/>
  <c r="D112" i="5"/>
  <c r="D104" i="5"/>
  <c r="D96" i="5"/>
  <c r="D88" i="5"/>
  <c r="D74" i="5"/>
  <c r="D70" i="5"/>
  <c r="D58" i="5"/>
  <c r="D50" i="5"/>
  <c r="D42" i="5"/>
  <c r="D34" i="5"/>
  <c r="D26" i="5"/>
  <c r="D18" i="5"/>
  <c r="F8" i="5"/>
  <c r="E5" i="5"/>
  <c r="D2" i="5"/>
  <c r="E8" i="5"/>
  <c r="D5" i="5"/>
  <c r="F84" i="5"/>
  <c r="F79" i="5"/>
  <c r="F55" i="5"/>
  <c r="F52" i="5"/>
  <c r="F39" i="5"/>
  <c r="F36" i="5"/>
  <c r="F31" i="5"/>
  <c r="F28" i="5"/>
  <c r="F3" i="5"/>
  <c r="F83" i="5"/>
  <c r="F80" i="5"/>
  <c r="F75" i="5"/>
  <c r="F72" i="5"/>
  <c r="F67" i="5"/>
  <c r="F64" i="5"/>
  <c r="F59" i="5"/>
  <c r="F56" i="5"/>
  <c r="F51" i="5"/>
  <c r="F48" i="5"/>
  <c r="F43" i="5"/>
  <c r="F40" i="5"/>
  <c r="F35" i="5"/>
  <c r="F32" i="5"/>
  <c r="F27" i="5"/>
  <c r="F24" i="5"/>
  <c r="F19" i="5"/>
  <c r="F16" i="5"/>
  <c r="F11" i="5"/>
  <c r="F76" i="5"/>
  <c r="F71" i="5"/>
  <c r="F68" i="5"/>
  <c r="F63" i="5"/>
  <c r="F60" i="5"/>
  <c r="F47" i="5"/>
  <c r="F44" i="5"/>
  <c r="F23" i="5"/>
  <c r="F20" i="5"/>
  <c r="F15" i="5"/>
  <c r="F12" i="5"/>
  <c r="J9" i="1" l="1"/>
  <c r="L9" i="1" s="1"/>
  <c r="R7" i="1"/>
  <c r="J4" i="1"/>
  <c r="L4" i="1" s="1"/>
  <c r="J5" i="1"/>
  <c r="L5" i="1" s="1"/>
  <c r="A4" i="1"/>
  <c r="A5" i="1" s="1"/>
  <c r="T5" i="1" s="1"/>
  <c r="N3" i="1"/>
  <c r="G12" i="5"/>
  <c r="G15" i="5"/>
  <c r="G20" i="5"/>
  <c r="G23" i="5"/>
  <c r="G44" i="5"/>
  <c r="G47" i="5"/>
  <c r="G60" i="5"/>
  <c r="G63" i="5"/>
  <c r="G68" i="5"/>
  <c r="G71" i="5"/>
  <c r="G76" i="5"/>
  <c r="G11" i="5"/>
  <c r="G16" i="5"/>
  <c r="G19" i="5"/>
  <c r="G24" i="5"/>
  <c r="G27" i="5"/>
  <c r="G32" i="5"/>
  <c r="G35" i="5"/>
  <c r="G40" i="5"/>
  <c r="G43" i="5"/>
  <c r="G48" i="5"/>
  <c r="G51" i="5"/>
  <c r="G56" i="5"/>
  <c r="G59" i="5"/>
  <c r="G64" i="5"/>
  <c r="G67" i="5"/>
  <c r="G72" i="5"/>
  <c r="G75" i="5"/>
  <c r="G80" i="5"/>
  <c r="G83" i="5"/>
  <c r="G3" i="5"/>
  <c r="G28" i="5"/>
  <c r="G31" i="5"/>
  <c r="G36" i="5"/>
  <c r="G39" i="5"/>
  <c r="G52" i="5"/>
  <c r="G55" i="5"/>
  <c r="G79" i="5"/>
  <c r="G84" i="5"/>
  <c r="G8" i="5"/>
  <c r="G7" i="5"/>
  <c r="G90" i="5"/>
  <c r="G94" i="5"/>
  <c r="G98" i="5"/>
  <c r="G102" i="5"/>
  <c r="G106" i="5"/>
  <c r="G110" i="5"/>
  <c r="G114" i="5"/>
  <c r="G118" i="5"/>
  <c r="G122" i="5"/>
  <c r="G126" i="5"/>
  <c r="G130" i="5"/>
  <c r="G134" i="5"/>
  <c r="G138" i="5"/>
  <c r="G142" i="5"/>
  <c r="G146" i="5"/>
  <c r="G150" i="5"/>
  <c r="G154" i="5"/>
  <c r="G158" i="5"/>
  <c r="G162" i="5"/>
  <c r="G166" i="5"/>
  <c r="G170" i="5"/>
  <c r="G174" i="5"/>
  <c r="G178" i="5"/>
  <c r="G182" i="5"/>
  <c r="G186" i="5"/>
  <c r="G190" i="5"/>
  <c r="G194" i="5"/>
  <c r="G198" i="5"/>
  <c r="G4" i="5"/>
  <c r="G89" i="5"/>
  <c r="G93" i="5"/>
  <c r="G97" i="5"/>
  <c r="G101" i="5"/>
  <c r="G105" i="5"/>
  <c r="G109" i="5"/>
  <c r="G113" i="5"/>
  <c r="G117" i="5"/>
  <c r="G121" i="5"/>
  <c r="G125" i="5"/>
  <c r="G129" i="5"/>
  <c r="G133" i="5"/>
  <c r="G137" i="5"/>
  <c r="G141" i="5"/>
  <c r="G145" i="5"/>
  <c r="G149" i="5"/>
  <c r="G153" i="5"/>
  <c r="G157" i="5"/>
  <c r="G161" i="5"/>
  <c r="G165" i="5"/>
  <c r="G169" i="5"/>
  <c r="G173" i="5"/>
  <c r="G177" i="5"/>
  <c r="G181" i="5"/>
  <c r="G185" i="5"/>
  <c r="G189" i="5"/>
  <c r="G193" i="5"/>
  <c r="G197" i="5"/>
  <c r="G5" i="5"/>
  <c r="G9" i="5"/>
  <c r="G13" i="5"/>
  <c r="G17" i="5"/>
  <c r="G21" i="5"/>
  <c r="G25" i="5"/>
  <c r="G29" i="5"/>
  <c r="G33" i="5"/>
  <c r="G37" i="5"/>
  <c r="G41" i="5"/>
  <c r="G45" i="5"/>
  <c r="G49" i="5"/>
  <c r="G53" i="5"/>
  <c r="G57" i="5"/>
  <c r="G61" i="5"/>
  <c r="G65" i="5"/>
  <c r="G69" i="5"/>
  <c r="G73" i="5"/>
  <c r="G77" i="5"/>
  <c r="G81" i="5"/>
  <c r="G85" i="5"/>
  <c r="G2" i="5"/>
  <c r="G6" i="5"/>
  <c r="G10" i="5"/>
  <c r="G14" i="5"/>
  <c r="G18" i="5"/>
  <c r="G22" i="5"/>
  <c r="G26" i="5"/>
  <c r="G30" i="5"/>
  <c r="G34" i="5"/>
  <c r="G38" i="5"/>
  <c r="G42" i="5"/>
  <c r="G46" i="5"/>
  <c r="G50" i="5"/>
  <c r="G54" i="5"/>
  <c r="G58" i="5"/>
  <c r="G62" i="5"/>
  <c r="G66" i="5"/>
  <c r="G70" i="5"/>
  <c r="G74" i="5"/>
  <c r="G78" i="5"/>
  <c r="G82" i="5"/>
  <c r="G86" i="5"/>
  <c r="G87" i="5"/>
  <c r="G91" i="5"/>
  <c r="G95" i="5"/>
  <c r="G99" i="5"/>
  <c r="G103" i="5"/>
  <c r="G107" i="5"/>
  <c r="G111" i="5"/>
  <c r="G115" i="5"/>
  <c r="G119" i="5"/>
  <c r="G123" i="5"/>
  <c r="G127" i="5"/>
  <c r="G131" i="5"/>
  <c r="G135" i="5"/>
  <c r="G139" i="5"/>
  <c r="G143" i="5"/>
  <c r="G147" i="5"/>
  <c r="G151" i="5"/>
  <c r="G155" i="5"/>
  <c r="G159" i="5"/>
  <c r="G163" i="5"/>
  <c r="G167" i="5"/>
  <c r="G171" i="5"/>
  <c r="G175" i="5"/>
  <c r="G179" i="5"/>
  <c r="G183" i="5"/>
  <c r="G187" i="5"/>
  <c r="G191" i="5"/>
  <c r="G195" i="5"/>
  <c r="G199" i="5"/>
  <c r="G88" i="5"/>
  <c r="G92" i="5"/>
  <c r="G96" i="5"/>
  <c r="G100" i="5"/>
  <c r="G104" i="5"/>
  <c r="G108" i="5"/>
  <c r="G112" i="5"/>
  <c r="G116" i="5"/>
  <c r="G120" i="5"/>
  <c r="G124" i="5"/>
  <c r="G128" i="5"/>
  <c r="G132" i="5"/>
  <c r="G136" i="5"/>
  <c r="G140" i="5"/>
  <c r="G144" i="5"/>
  <c r="G148" i="5"/>
  <c r="G152" i="5"/>
  <c r="G156" i="5"/>
  <c r="G160" i="5"/>
  <c r="G164" i="5"/>
  <c r="G168" i="5"/>
  <c r="G172" i="5"/>
  <c r="G176" i="5"/>
  <c r="G180" i="5"/>
  <c r="G184" i="5"/>
  <c r="G188" i="5"/>
  <c r="G192" i="5"/>
  <c r="G196" i="5"/>
  <c r="T4" i="1" l="1"/>
  <c r="N5" i="1"/>
  <c r="N4" i="1"/>
  <c r="A6" i="1"/>
  <c r="A7" i="1" l="1"/>
  <c r="T6" i="1"/>
  <c r="N6" i="1"/>
  <c r="T7" i="1" l="1"/>
  <c r="A8" i="1"/>
  <c r="N7" i="1"/>
  <c r="T8" i="1" l="1"/>
  <c r="N8" i="1"/>
  <c r="A9" i="1"/>
  <c r="A10" i="1" l="1"/>
  <c r="N9" i="1"/>
  <c r="T9" i="1"/>
  <c r="T10" i="1" l="1"/>
  <c r="N10" i="1"/>
</calcChain>
</file>

<file path=xl/sharedStrings.xml><?xml version="1.0" encoding="utf-8"?>
<sst xmlns="http://schemas.openxmlformats.org/spreadsheetml/2006/main" count="957" uniqueCount="119">
  <si>
    <t>Artist</t>
    <phoneticPr fontId="1"/>
  </si>
  <si>
    <t>Track Name</t>
    <phoneticPr fontId="1"/>
  </si>
  <si>
    <t>No</t>
    <phoneticPr fontId="1"/>
  </si>
  <si>
    <t>Genre</t>
    <phoneticPr fontId="1"/>
  </si>
  <si>
    <t>Album</t>
    <phoneticPr fontId="1"/>
  </si>
  <si>
    <t>Audacity</t>
    <phoneticPr fontId="1"/>
  </si>
  <si>
    <t>MixCloud</t>
    <phoneticPr fontId="1"/>
  </si>
  <si>
    <t>Start Time
(second)</t>
    <phoneticPr fontId="1"/>
  </si>
  <si>
    <t>End Time
(second)</t>
    <phoneticPr fontId="1"/>
  </si>
  <si>
    <t xml:space="preserve"> </t>
    <phoneticPr fontId="1"/>
  </si>
  <si>
    <t>name</t>
  </si>
  <si>
    <t>start time</t>
  </si>
  <si>
    <t>end time</t>
  </si>
  <si>
    <t>playtime</t>
  </si>
  <si>
    <t>artist</t>
  </si>
  <si>
    <t>album</t>
  </si>
  <si>
    <t>genre</t>
  </si>
  <si>
    <t>bpm</t>
  </si>
  <si>
    <t>deck</t>
  </si>
  <si>
    <t>Lutan Fyah</t>
  </si>
  <si>
    <t>notes</t>
  </si>
  <si>
    <t>year</t>
    <phoneticPr fontId="1"/>
  </si>
  <si>
    <t>SuperTagEditer</t>
    <phoneticPr fontId="1"/>
  </si>
  <si>
    <t>year</t>
  </si>
  <si>
    <t>Send Me an Angel (Minor Riddim)</t>
  </si>
  <si>
    <t>Fiji</t>
  </si>
  <si>
    <t>Minor Riddim</t>
  </si>
  <si>
    <t>Reggae@Riddim</t>
  </si>
  <si>
    <t>A Like That (Minor Riddim)</t>
  </si>
  <si>
    <t>Vybz Kartel</t>
  </si>
  <si>
    <t>Name &amp; Number (Minor Riddim)</t>
  </si>
  <si>
    <t>LP</t>
  </si>
  <si>
    <t>Over Come Dem (Minor Riddim)</t>
  </si>
  <si>
    <t>Roll (Minor Riddim)</t>
  </si>
  <si>
    <t>Protoje</t>
  </si>
  <si>
    <t>Love Me Right (Minor Riddim)</t>
  </si>
  <si>
    <t>Selena Serrano &amp; Pressure</t>
  </si>
  <si>
    <t>Forbidden Love (Minor Riddim)</t>
  </si>
  <si>
    <t>Tami Chynn</t>
  </si>
  <si>
    <t>Love Like This (Minor Riddim)</t>
  </si>
  <si>
    <t>Toi</t>
  </si>
  <si>
    <t>Selena Serrano &amp; Pressure - Love Me Right (Minor Riddim) - 0:00:00</t>
  </si>
  <si>
    <t>Fiji - Send Me an Angel (Minor Riddim) - 0:01:27</t>
  </si>
  <si>
    <t>Vybz Kartel - A Like That (Minor Riddim) - 0:02:30</t>
  </si>
  <si>
    <t>LP - Name &amp; Number (Minor Riddim) - 0:03:35</t>
  </si>
  <si>
    <t>Lutan Fyah - Over Come Dem (Minor Riddim) - 0:04:37</t>
  </si>
  <si>
    <t>Protoje - Roll (Minor Riddim) - 0:05:41</t>
  </si>
  <si>
    <t>Toi - Love Like This (Minor Riddim) - 0:06:45</t>
  </si>
  <si>
    <t>Tami Chynn - Forbidden Love (Minor Riddim) - 0:07:47</t>
  </si>
  <si>
    <t>Start Time
(シリアル値)</t>
    <rPh sb="16" eb="17">
      <t>チ</t>
    </rPh>
    <phoneticPr fontId="1"/>
  </si>
  <si>
    <t>Start Time
(文字列値)</t>
    <rPh sb="12" eb="15">
      <t>モジレツ</t>
    </rPh>
    <phoneticPr fontId="1"/>
  </si>
  <si>
    <t>End Time
(文字列値)</t>
    <phoneticPr fontId="1"/>
  </si>
  <si>
    <t>Start Time
(文字列値)</t>
    <rPh sb="12" eb="15">
      <t>モジレツ</t>
    </rPh>
    <rPh sb="15" eb="16">
      <t>チ</t>
    </rPh>
    <phoneticPr fontId="1"/>
  </si>
  <si>
    <t xml:space="preserve">01 Love Me Right (Minor Riddim)	Love Me Right (Minor Riddim)	Selena Serrano &amp; Pressure	Tatsuya Endo	Minor Riddim	1	2010	Reggae@Riddim										</t>
  </si>
  <si>
    <t xml:space="preserve">02 Send Me an Angel (Minor Riddim)	Send Me an Angel (Minor Riddim)	Fiji	Tatsuya Endo	Minor Riddim	2	2010	Reggae@Riddim										</t>
  </si>
  <si>
    <t xml:space="preserve">03 A Like That (Minor Riddim)	A Like That (Minor Riddim)	Vybz Kartel	Tatsuya Endo	Minor Riddim	3	2010	Reggae@Riddim										</t>
  </si>
  <si>
    <t xml:space="preserve">04 Name &amp; Number (Minor Riddim)	Name &amp; Number (Minor Riddim)	LP	Tatsuya Endo	Minor Riddim	4	2010	Reggae@Riddim										</t>
  </si>
  <si>
    <t xml:space="preserve">05 Over Come Dem (Minor Riddim)	Over Come Dem (Minor Riddim)	Lutan Fyah	Tatsuya Endo	Minor Riddim	5	2010	Reggae@Riddim										</t>
  </si>
  <si>
    <t xml:space="preserve">06 Roll (Minor Riddim)	Roll (Minor Riddim)	Protoje	Tatsuya Endo	Minor Riddim	6	2010	Reggae@Riddim										</t>
  </si>
  <si>
    <t xml:space="preserve">07 Love Like This (Minor Riddim)	Love Like This (Minor Riddim)	Toi	Tatsuya Endo	Minor Riddim	7	2010	Reggae@Riddim										</t>
  </si>
  <si>
    <t xml:space="preserve">08 Forbidden Love (Minor Riddim)	Forbidden Love (Minor Riddim)	Tami Chynn	Tatsuya Endo	Minor Riddim	8	2010	Reggae@Riddim										</t>
  </si>
  <si>
    <t>File Name</t>
    <phoneticPr fontId="1"/>
  </si>
  <si>
    <t>Album Artist</t>
    <phoneticPr fontId="1"/>
  </si>
  <si>
    <t>TrackNo</t>
    <phoneticPr fontId="1"/>
  </si>
  <si>
    <t>Year</t>
    <phoneticPr fontId="1"/>
  </si>
  <si>
    <t xml:space="preserve">name                                            artist                        album                    year     genre             bpm     deck     start time              end time     playtime     notes     </t>
  </si>
  <si>
    <t>---------------------------------------------------------------------------------------------------------------------------------------------------------------------------------------------------------------</t>
  </si>
  <si>
    <t xml:space="preserve">2017/03/17                                                                                                                                         2017/03/17 10:53:07                                         </t>
  </si>
  <si>
    <t xml:space="preserve">Send Me an Angel (Minor Riddim)                 Fiji                          Minor Riddim             2010     Reggae@Riddim     91      1        10:53:07                10:55:09     00:02:02               </t>
  </si>
  <si>
    <t xml:space="preserve">A Like That (Minor Riddim)                      Vybz Kartel                   Minor Riddim             2010     Reggae@Riddim     91      2        10:53:27                10:56:45     00:03:18               </t>
  </si>
  <si>
    <t xml:space="preserve">Name &amp; Number (Minor Riddim)                    LP                            Minor Riddim             2010     Reggae@Riddim     91      1        10:55:09                10:57:47     00:02:38               </t>
  </si>
  <si>
    <t xml:space="preserve">Over Come Dem (Minor Riddim)                    Lutan Fyah                    Minor Riddim             2010     Reggae@Riddim     91      2        10:56:45                10:58:51     00:02:06               </t>
  </si>
  <si>
    <t xml:space="preserve">Roll (Minor Riddim)                             Protoje                       Minor Riddim             2010     Reggae@Riddim     91      1        10:57:47                10:59:54     00:02:07               </t>
  </si>
  <si>
    <t xml:space="preserve">Love Me Right (Minor Riddim)                    Selena Serrano &amp; Pressure     Minor Riddim             2010     Reggae@Riddim     91      2        10:58:51                11:00:49     00:01:58               </t>
  </si>
  <si>
    <t xml:space="preserve">Forbidden Love (Minor Riddim)                   Tami Chynn                    Minor Riddim             2010     Reggae@Riddim     91      1        10:59:54                11:02:48     00:02:54               </t>
  </si>
  <si>
    <t xml:space="preserve">Love Like This (Minor Riddim)                   Toi                           Minor Riddim             2010     Reggae@Riddim     91      2        11:00:49                11:03:22     00:02:33               </t>
  </si>
  <si>
    <t xml:space="preserve">Love Me Right (Minor Riddim)                    Selena Serrano &amp; Pressure     Minor Riddim             2010     Reggae@Riddim     91      1        11:02:48                11:05:05     00:02:17               </t>
  </si>
  <si>
    <t xml:space="preserve">Send Me an Angel (Minor Riddim)                 Fiji                          Minor Riddim             2010     Reggae@Riddim     91      2        11:03:22                11:06:07     00:02:45               </t>
  </si>
  <si>
    <t xml:space="preserve">A Like That (Minor Riddim)                      Vybz Kartel                   Minor Riddim             2010     Reggae@Riddim     91      1        11:05:05                11:07:14     00:02:09               </t>
  </si>
  <si>
    <t xml:space="preserve">Name &amp; Number (Minor Riddim)                    LP                            Minor Riddim             2010     Reggae@Riddim     91      2        11:06:07                11:08:13     00:02:06               </t>
  </si>
  <si>
    <t xml:space="preserve">Over Come Dem (Minor Riddim)                    Lutan Fyah                    Minor Riddim             2010     Reggae@Riddim     91      1        11:07:14                11:09:19     00:02:05               </t>
  </si>
  <si>
    <t xml:space="preserve">Roll (Minor Riddim)                             Protoje                       Minor Riddim             2010     Reggae@Riddim     91      2        11:08:13                11:10:22     00:02:09               </t>
  </si>
  <si>
    <t xml:space="preserve">Love Like This (Minor Riddim)                   Toi                           Minor Riddim             2010     Reggae@Riddim     91      1        11:09:19                11:13:05     00:03:46               </t>
  </si>
  <si>
    <t xml:space="preserve">Forbidden Love (Minor Riddim)                   Tami Chynn                    Minor Riddim             2010     Reggae@Riddim     91      2        11:10:22                11:13:09     00:02:47               </t>
  </si>
  <si>
    <t xml:space="preserve">Beat Dem Badd (Jim Screechie Riddim)            Beenie Man                    Jim Screechie Riddim     2010     Reggae@Riddim     119     1        11:13:05                11:15:11     00:02:06               </t>
  </si>
  <si>
    <t xml:space="preserve">Closer (Jim Screechie Riddim)                   Shanz                         Jim Screechie Riddim     2010     Reggae@Riddim     119     2        11:13:09                11:16:14     00:03:05               </t>
  </si>
  <si>
    <t xml:space="preserve">Everybody Clap (Jim Screechie Riddim)           T.O.K                         Jim Screechie Riddim     2010     Reggae@Riddim     119     1        11:15:11                11:21:41     00:06:30               </t>
  </si>
  <si>
    <t xml:space="preserve">For The Girls (Jim Screechie Riddim)            Rdx                           Jim Screechie Riddim     2010     Reggae@Riddim     119     2        11:16:14                11:23:56     00:07:42               </t>
  </si>
  <si>
    <t xml:space="preserve">Hard Fi Find (Jim Screechie Riddim)             Versatile                     Jim Screechie Riddim     2010     Reggae@Riddim     119     1        11:21:50                11:25:49     00:03:59               </t>
  </si>
  <si>
    <t xml:space="preserve">Jackhammer [Raw] (Jim Screechie Riddim)         Aidonia                       Jim Screechie Riddim     2010     Reggae@Riddim     119     2        11:23:56                11:31:57     00:08:01               </t>
  </si>
  <si>
    <t xml:space="preserve">Jim Screechie (Jim Screechie Riddim)            Spice                         Jim Screechie Riddim     2010     Reggae@Riddim     119     1        11:25:49                11:33:35     00:07:46               </t>
  </si>
  <si>
    <t xml:space="preserve">La La La (Jim Screechie Riddim)                 Kemikal                       Jim Screechie Riddim     2010     Reggae@Riddim     119     2        11:31:57                11:34:39     00:02:42               </t>
  </si>
  <si>
    <t xml:space="preserve">Move! (Jim Screechie Riddim)                    Akane feat Timberlee          Jim Screechie Riddim     2010     Reggae@Riddim     119     1        11:33:35                11:36:27     00:02:52               </t>
  </si>
  <si>
    <t xml:space="preserve">Only Girls [Raw] (Jim Screechie Riddim)         Bunji Garland                 Jim Screechie Riddim     2010     Reggae@Riddim     119     2        11:35:16                11:38:11     00:02:55               </t>
  </si>
  <si>
    <t xml:space="preserve">There She Goes [Raw] (Jim Screechie Riddim)     Fay-Ann Lyons                 Jim Screechie Riddim     2010     Reggae@Riddim     119     1        11:36:27                11:43:32     00:07:05               </t>
  </si>
  <si>
    <t xml:space="preserve">U Shoulda Know (Jim Screechie Riddim)           J.O.E                         Jim Screechie Riddim     2010     Reggae@Riddim     119     2        11:38:11                11:47:30     00:09:19               </t>
  </si>
  <si>
    <t xml:space="preserve">Beat Dem Badd (Jim Screechie Riddim)            Beenie Man                    Jim Screechie Riddim     2010     Reggae@Riddim     119     1        11:43:32                11:43:50     00:00:18               </t>
  </si>
  <si>
    <t xml:space="preserve">Closer (Jim Screechie Riddim)                   Shanz                         Jim Screechie Riddim     2010     Reggae@Riddim     119     1        11:43:50                11:43:57     00:00:07               </t>
  </si>
  <si>
    <t xml:space="preserve">For The Girls (Jim Screechie Riddim)            Rdx                           Jim Screechie Riddim     2010     Reggae@Riddim     119     1        11:43:57                11:44:01     00:00:04               </t>
  </si>
  <si>
    <t xml:space="preserve">Hard Fi Find (Jim Screechie Riddim)             Versatile                     Jim Screechie Riddim     2010     Reggae@Riddim     119     1        11:44:01                11:44:04     00:00:03               </t>
  </si>
  <si>
    <t xml:space="preserve">Jackhammer [Raw] (Jim Screechie Riddim)         Aidonia                       Jim Screechie Riddim     2010     Reggae@Riddim     119     1        11:44:04                11:45:06     00:01:02               </t>
  </si>
  <si>
    <t xml:space="preserve">Everybody Clap (Jim Screechie Riddim)           T.O.K                         Jim Screechie Riddim     2010     Reggae@Riddim     119     1        11:45:06                11:45:53     00:00:47               </t>
  </si>
  <si>
    <t xml:space="preserve">Closer (Jim Screechie Riddim)                   Shanz                         Jim Screechie Riddim     2010     Reggae@Riddim     119     1        11:45:53                11:46:33     00:00:40               </t>
  </si>
  <si>
    <t xml:space="preserve">Beat Dem Badd (Jim Screechie Riddim)            Beenie Man                    Jim Screechie Riddim     2010     Reggae@Riddim     119     1        11:46:33                11:47:18     00:00:45               </t>
  </si>
  <si>
    <t xml:space="preserve">Beat Dem Badd (Jim Screechie Riddim)            Beenie Man                    Jim Screechie Riddim     2010     Reggae@Riddim     119     1        11:47:18                11:47:22     00:00:04               </t>
  </si>
  <si>
    <t xml:space="preserve">Beat Dem Badd (Jim Screechie Riddim)            Beenie Man                    Jim Screechie Riddim     2010     Reggae@Riddim     119     1        11:47:22                11:49:03     00:01:41               </t>
  </si>
  <si>
    <t xml:space="preserve">Closer (Jim Screechie Riddim)                   Shanz                         Jim Screechie Riddim     2010     Reggae@Riddim     119     2        11:47:30                11:49:50     00:02:20               </t>
  </si>
  <si>
    <t xml:space="preserve">For The Girls (Jim Screechie Riddim)            Rdx                           Jim Screechie Riddim     2010     Reggae@Riddim     119     1        11:49:03                11:50:39     00:01:36               </t>
  </si>
  <si>
    <t xml:space="preserve">Hard Fi Find (Jim Screechie Riddim)             Versatile                     Jim Screechie Riddim     2010     Reggae@Riddim     119     2        11:49:50                11:51:44     00:01:54               </t>
  </si>
  <si>
    <t xml:space="preserve">Jim Screechie (Jim Screechie Riddim)            Spice                         Jim Screechie Riddim     2010     Reggae@Riddim     119     1        11:50:39                11:52:49     00:02:10               </t>
  </si>
  <si>
    <t xml:space="preserve">La La La (Jim Screechie Riddim)                 Kemikal                       Jim Screechie Riddim     2010     Reggae@Riddim     119     2        11:51:44                11:54:00     00:02:16               </t>
  </si>
  <si>
    <t xml:space="preserve">Everybody Clap (Jim Screechie Riddim)           T.O.K                         Jim Screechie Riddim     2010     Reggae@Riddim     119     1        11:52:49                11:55:30     00:02:41               </t>
  </si>
  <si>
    <t xml:space="preserve">Only Girls [Raw] (Jim Screechie Riddim)         Bunji Garland                 Jim Screechie Riddim     2010     Reggae@Riddim     119     2        11:54:00                11:56:20     00:02:20               </t>
  </si>
  <si>
    <t xml:space="preserve">Move! (Jim Screechie Riddim)                    Akane feat Timberlee          Jim Screechie Riddim     2010     Reggae@Riddim     119     1        11:55:30                11:57:23     00:01:53               </t>
  </si>
  <si>
    <t xml:space="preserve">U Shoulda Know (Jim Screechie Riddim)           J.O.E                         Jim Screechie Riddim     2010     Reggae@Riddim     119     2        11:56:20                                                    </t>
  </si>
  <si>
    <t xml:space="preserve">Jackhammer [Raw] (Jim Screechie Riddim)         Aidonia                       Jim Screechie Riddim     2010     Reggae@Riddim     119     1        11:57:23                                                    </t>
  </si>
  <si>
    <t xml:space="preserve"> </t>
    <phoneticPr fontId="1"/>
  </si>
  <si>
    <t>Error Check</t>
    <phoneticPr fontId="1"/>
  </si>
  <si>
    <t>↓貼り付け先↓</t>
    <rPh sb="1" eb="2">
      <t>ハ</t>
    </rPh>
    <rPh sb="3" eb="4">
      <t>ツ</t>
    </rPh>
    <rPh sb="5" eb="6">
      <t>サキ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</si>
</sst>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F400]h:mm:ss\ AM/PM"/>
  </numFmts>
  <fonts count="6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メイリオ"/>
      <family val="3"/>
      <charset val="128"/>
    </font>
    <font>
      <sz val="11"/>
      <color rgb="FF000000"/>
      <name val="ＭＳ Ｐゴシック"/>
      <family val="3"/>
      <charset val="128"/>
      <scheme val="minor"/>
    </font>
    <font>
      <b/>
      <sz val="8"/>
      <color theme="1"/>
      <name val="メイリオ"/>
      <family val="3"/>
      <charset val="128"/>
    </font>
    <font>
      <b/>
      <sz val="8"/>
      <color theme="8" tint="0.79998168889431442"/>
      <name val="メイリオ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otted">
        <color indexed="64"/>
      </right>
      <top style="dash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ash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Font="1" applyFill="1" applyAlignment="1">
      <alignment horizontal="center"/>
    </xf>
    <xf numFmtId="0" fontId="2" fillId="0" borderId="2" xfId="0" applyFont="1" applyBorder="1"/>
    <xf numFmtId="0" fontId="2" fillId="4" borderId="2" xfId="0" applyFont="1" applyFill="1" applyBorder="1"/>
    <xf numFmtId="0" fontId="2" fillId="3" borderId="2" xfId="0" applyNumberFormat="1" applyFont="1" applyFill="1" applyBorder="1" applyAlignment="1">
      <alignment horizontal="right"/>
    </xf>
    <xf numFmtId="0" fontId="2" fillId="3" borderId="2" xfId="0" applyFont="1" applyFill="1" applyBorder="1"/>
    <xf numFmtId="0" fontId="2" fillId="2" borderId="2" xfId="0" applyFont="1" applyFill="1" applyBorder="1"/>
    <xf numFmtId="0" fontId="2" fillId="0" borderId="2" xfId="0" applyFont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4" borderId="0" xfId="0" applyFont="1" applyFill="1" applyAlignment="1"/>
    <xf numFmtId="0" fontId="2" fillId="4" borderId="0" xfId="0" applyFont="1" applyFill="1" applyBorder="1" applyAlignment="1"/>
    <xf numFmtId="0" fontId="2" fillId="0" borderId="0" xfId="0" applyFont="1" applyAlignment="1"/>
    <xf numFmtId="0" fontId="2" fillId="4" borderId="5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21" fontId="2" fillId="3" borderId="2" xfId="0" applyNumberFormat="1" applyFont="1" applyFill="1" applyBorder="1" applyAlignment="1">
      <alignment horizontal="right"/>
    </xf>
    <xf numFmtId="0" fontId="2" fillId="0" borderId="2" xfId="0" applyFont="1" applyFill="1" applyBorder="1"/>
    <xf numFmtId="21" fontId="2" fillId="0" borderId="2" xfId="0" applyNumberFormat="1" applyFont="1" applyFill="1" applyBorder="1" applyAlignment="1">
      <alignment horizontal="right"/>
    </xf>
    <xf numFmtId="0" fontId="2" fillId="3" borderId="3" xfId="0" applyFont="1" applyFill="1" applyBorder="1"/>
    <xf numFmtId="0" fontId="2" fillId="3" borderId="4" xfId="0" applyFont="1" applyFill="1" applyBorder="1"/>
    <xf numFmtId="0" fontId="2" fillId="3" borderId="3" xfId="0" applyNumberFormat="1" applyFont="1" applyFill="1" applyBorder="1" applyAlignment="1">
      <alignment horizontal="right"/>
    </xf>
    <xf numFmtId="0" fontId="2" fillId="3" borderId="4" xfId="0" applyNumberFormat="1" applyFont="1" applyFill="1" applyBorder="1" applyAlignment="1">
      <alignment horizontal="right"/>
    </xf>
    <xf numFmtId="0" fontId="2" fillId="3" borderId="2" xfId="0" applyFont="1" applyFill="1" applyBorder="1" applyAlignment="1">
      <alignment horizontal="center"/>
    </xf>
    <xf numFmtId="0" fontId="2" fillId="5" borderId="7" xfId="0" applyFont="1" applyFill="1" applyBorder="1" applyAlignment="1"/>
    <xf numFmtId="0" fontId="2" fillId="5" borderId="7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49" fontId="2" fillId="5" borderId="11" xfId="0" applyNumberFormat="1" applyFont="1" applyFill="1" applyBorder="1" applyAlignment="1">
      <alignment horizontal="center"/>
    </xf>
    <xf numFmtId="49" fontId="2" fillId="5" borderId="16" xfId="0" applyNumberFormat="1" applyFont="1" applyFill="1" applyBorder="1" applyAlignment="1">
      <alignment horizontal="centerContinuous"/>
    </xf>
    <xf numFmtId="49" fontId="2" fillId="5" borderId="17" xfId="0" applyNumberFormat="1" applyFont="1" applyFill="1" applyBorder="1" applyAlignment="1">
      <alignment horizontal="centerContinuous"/>
    </xf>
    <xf numFmtId="0" fontId="2" fillId="5" borderId="12" xfId="0" applyFont="1" applyFill="1" applyBorder="1" applyAlignment="1"/>
    <xf numFmtId="0" fontId="2" fillId="5" borderId="13" xfId="0" applyFont="1" applyFill="1" applyBorder="1" applyAlignment="1"/>
    <xf numFmtId="49" fontId="2" fillId="5" borderId="5" xfId="0" applyNumberFormat="1" applyFont="1" applyFill="1" applyBorder="1" applyAlignment="1">
      <alignment horizontal="center" wrapText="1"/>
    </xf>
    <xf numFmtId="0" fontId="2" fillId="5" borderId="0" xfId="0" applyFont="1" applyFill="1" applyAlignment="1"/>
    <xf numFmtId="0" fontId="2" fillId="5" borderId="8" xfId="0" applyFont="1" applyFill="1" applyBorder="1" applyAlignment="1">
      <alignment horizontal="centerContinuous"/>
    </xf>
    <xf numFmtId="49" fontId="4" fillId="5" borderId="19" xfId="0" applyNumberFormat="1" applyFont="1" applyFill="1" applyBorder="1" applyAlignment="1">
      <alignment horizontal="center"/>
    </xf>
    <xf numFmtId="49" fontId="2" fillId="4" borderId="18" xfId="0" applyNumberFormat="1" applyFont="1" applyFill="1" applyBorder="1"/>
    <xf numFmtId="0" fontId="4" fillId="5" borderId="7" xfId="0" applyFont="1" applyFill="1" applyBorder="1"/>
    <xf numFmtId="0" fontId="2" fillId="2" borderId="5" xfId="0" applyFont="1" applyFill="1" applyBorder="1"/>
    <xf numFmtId="0" fontId="2" fillId="4" borderId="5" xfId="0" applyFont="1" applyFill="1" applyBorder="1"/>
    <xf numFmtId="0" fontId="5" fillId="5" borderId="7" xfId="0" applyFont="1" applyFill="1" applyBorder="1" applyAlignment="1">
      <alignment horizontal="center"/>
    </xf>
    <xf numFmtId="0" fontId="4" fillId="5" borderId="19" xfId="0" applyFont="1" applyFill="1" applyBorder="1" applyAlignment="1">
      <alignment horizontal="center"/>
    </xf>
    <xf numFmtId="176" fontId="4" fillId="5" borderId="19" xfId="0" applyNumberFormat="1" applyFont="1" applyFill="1" applyBorder="1" applyAlignment="1">
      <alignment horizontal="center"/>
    </xf>
    <xf numFmtId="0" fontId="2" fillId="0" borderId="20" xfId="0" applyFont="1" applyBorder="1"/>
    <xf numFmtId="0" fontId="2" fillId="4" borderId="0" xfId="0" applyFont="1" applyFill="1"/>
    <xf numFmtId="0" fontId="2" fillId="5" borderId="5" xfId="0" applyFont="1" applyFill="1" applyBorder="1" applyAlignment="1">
      <alignment horizontal="center" vertical="top"/>
    </xf>
    <xf numFmtId="0" fontId="2" fillId="4" borderId="6" xfId="0" applyFont="1" applyFill="1" applyBorder="1" applyAlignment="1">
      <alignment horizontal="center" vertical="top"/>
    </xf>
    <xf numFmtId="49" fontId="2" fillId="5" borderId="5" xfId="0" applyNumberFormat="1" applyFont="1" applyFill="1" applyBorder="1" applyAlignment="1">
      <alignment horizontal="center" vertical="top" wrapText="1"/>
    </xf>
    <xf numFmtId="49" fontId="2" fillId="5" borderId="14" xfId="0" applyNumberFormat="1" applyFont="1" applyFill="1" applyBorder="1" applyAlignment="1">
      <alignment horizontal="center" vertical="top" wrapText="1"/>
    </xf>
    <xf numFmtId="49" fontId="2" fillId="5" borderId="15" xfId="0" applyNumberFormat="1" applyFont="1" applyFill="1" applyBorder="1" applyAlignment="1">
      <alignment horizontal="center" vertical="top" wrapText="1"/>
    </xf>
    <xf numFmtId="0" fontId="2" fillId="5" borderId="14" xfId="0" applyFont="1" applyFill="1" applyBorder="1" applyAlignment="1">
      <alignment horizontal="center" vertical="top" wrapText="1"/>
    </xf>
    <xf numFmtId="0" fontId="2" fillId="5" borderId="15" xfId="0" applyFont="1" applyFill="1" applyBorder="1" applyAlignment="1">
      <alignment horizontal="center" vertical="top" wrapText="1"/>
    </xf>
    <xf numFmtId="0" fontId="2" fillId="4" borderId="5" xfId="0" applyFont="1" applyFill="1" applyBorder="1" applyAlignment="1">
      <alignment horizontal="center" vertical="top"/>
    </xf>
    <xf numFmtId="0" fontId="2" fillId="4" borderId="1" xfId="0" applyFont="1" applyFill="1" applyBorder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5" borderId="9" xfId="0" applyFont="1" applyFill="1" applyBorder="1" applyAlignment="1">
      <alignment horizontal="centerContinuous" vertical="top"/>
    </xf>
    <xf numFmtId="0" fontId="2" fillId="5" borderId="10" xfId="0" applyFont="1" applyFill="1" applyBorder="1" applyAlignment="1">
      <alignment horizontal="centerContinuous" vertical="top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各種情報エクスポート！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_000/AppData/Roaming/Microsoft/AddIns/UserDefFunc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splitst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00"/>
  <sheetViews>
    <sheetView showGridLines="0"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2" customHeight="1" x14ac:dyDescent="0.4"/>
  <cols>
    <col min="1" max="1" width="3.77734375" style="3" customWidth="1"/>
    <col min="2" max="4" width="35.21875" style="3" customWidth="1"/>
    <col min="5" max="5" width="8.88671875" style="5" bestFit="1" customWidth="1"/>
    <col min="6" max="6" width="13.6640625" style="5" bestFit="1" customWidth="1"/>
    <col min="7" max="7" width="0.44140625" style="3" customWidth="1"/>
    <col min="8" max="10" width="10.21875" style="4" customWidth="1"/>
    <col min="11" max="12" width="10.21875" style="3" customWidth="1"/>
    <col min="13" max="13" width="0.21875" style="3" customWidth="1"/>
    <col min="14" max="14" width="24.5546875" style="3" customWidth="1"/>
    <col min="15" max="15" width="0.21875" style="3" customWidth="1"/>
    <col min="16" max="17" width="5.109375" style="5" customWidth="1"/>
    <col min="18" max="18" width="20.33203125" style="3" customWidth="1"/>
    <col min="19" max="19" width="0.21875" style="3" customWidth="1"/>
    <col min="20" max="20" width="20.33203125" style="3" customWidth="1"/>
    <col min="21" max="21" width="0.21875" style="3" customWidth="1"/>
    <col min="22" max="16384" width="8.88671875" style="3"/>
  </cols>
  <sheetData>
    <row r="1" spans="1:21" s="16" customFormat="1" ht="13.2" x14ac:dyDescent="0.4">
      <c r="A1" s="27"/>
      <c r="B1" s="27"/>
      <c r="C1" s="27"/>
      <c r="D1" s="27"/>
      <c r="E1" s="28"/>
      <c r="F1" s="28"/>
      <c r="G1" s="14"/>
      <c r="H1" s="30"/>
      <c r="I1" s="31"/>
      <c r="J1" s="32"/>
      <c r="K1" s="33"/>
      <c r="L1" s="34"/>
      <c r="M1" s="17"/>
      <c r="N1" s="36"/>
      <c r="O1" s="15"/>
      <c r="P1" s="37" t="s">
        <v>117</v>
      </c>
      <c r="Q1" s="37"/>
      <c r="R1" s="36"/>
      <c r="S1" s="18"/>
      <c r="T1" s="36"/>
      <c r="U1" s="18"/>
    </row>
    <row r="2" spans="1:21" s="57" customFormat="1" ht="28.2" customHeight="1" x14ac:dyDescent="0.2">
      <c r="A2" s="48" t="s">
        <v>2</v>
      </c>
      <c r="B2" s="48" t="s">
        <v>1</v>
      </c>
      <c r="C2" s="48" t="s">
        <v>0</v>
      </c>
      <c r="D2" s="48" t="s">
        <v>4</v>
      </c>
      <c r="E2" s="48" t="s">
        <v>21</v>
      </c>
      <c r="F2" s="48" t="s">
        <v>3</v>
      </c>
      <c r="G2" s="49"/>
      <c r="H2" s="50" t="s">
        <v>49</v>
      </c>
      <c r="I2" s="51" t="s">
        <v>50</v>
      </c>
      <c r="J2" s="52" t="s">
        <v>51</v>
      </c>
      <c r="K2" s="53" t="s">
        <v>7</v>
      </c>
      <c r="L2" s="54" t="s">
        <v>8</v>
      </c>
      <c r="M2" s="55"/>
      <c r="N2" s="48" t="s">
        <v>5</v>
      </c>
      <c r="O2" s="55"/>
      <c r="P2" s="58" t="str">
        <f>IF(
    COUNTIF($P$3:$Q$200,"〇")+COUNTIF($P$3:$Q$200,"×")=COUNTIF($P$3:$Q$200,"〇"),
    "OK!",
    "NG!"
)</f>
        <v>OK!</v>
      </c>
      <c r="Q2" s="59"/>
      <c r="R2" s="48" t="s">
        <v>6</v>
      </c>
      <c r="S2" s="56"/>
      <c r="T2" s="48" t="s">
        <v>22</v>
      </c>
      <c r="U2" s="56"/>
    </row>
    <row r="3" spans="1:21" s="2" customFormat="1" ht="12" customHeight="1" x14ac:dyDescent="0.4">
      <c r="A3" s="9">
        <f t="shared" ref="A3:A34" ca="1" si="0">IF(
    OR(
        $B3="",
        OFFSET($B3,-1,0)=""
    ),
    "",
    IF(
        OFFSET($B3,-1,0)=$B$2,
        1,
        OFFSET($A3,-1,0)+1
    )
)</f>
        <v>1</v>
      </c>
      <c r="B3" s="6" t="s">
        <v>35</v>
      </c>
      <c r="C3" s="6" t="s">
        <v>36</v>
      </c>
      <c r="D3" s="6" t="s">
        <v>26</v>
      </c>
      <c r="E3" s="11">
        <v>2010</v>
      </c>
      <c r="F3" s="11" t="s">
        <v>27</v>
      </c>
      <c r="G3" s="7"/>
      <c r="H3" s="19">
        <v>0</v>
      </c>
      <c r="I3" s="24" t="str">
        <f>IF(H3="","",TEXT(H3,"h:mm:ss"))</f>
        <v>0:00:00</v>
      </c>
      <c r="J3" s="25" t="str">
        <f ca="1">IF(OFFSET(J3,1,-1)&lt;&gt;"",OFFSET(J3,1,-1),"")</f>
        <v>0:01:27</v>
      </c>
      <c r="K3" s="22">
        <f>IF(H3&lt;&gt;"",(H3/"0:0:1"),"")</f>
        <v>0</v>
      </c>
      <c r="L3" s="23">
        <f t="shared" ref="L3:L66" ca="1" si="1">IF(J3&lt;&gt;"",(J3/"0:0:1"),"")</f>
        <v>87</v>
      </c>
      <c r="M3" s="7"/>
      <c r="N3" s="10" t="str">
        <f t="shared" ref="N3:N34" ca="1" si="2">IF(
    B3="",
    "",
    K3&amp;CHAR(9)&amp;L3&amp;CHAR(9)&amp;"L"&amp;TEXT($A3,"000")
)</f>
        <v>0	87	L001</v>
      </c>
      <c r="O3" s="7"/>
      <c r="P3" s="12" t="str">
        <f>IF(
    $B3="",
    "",
    IF(
        ISERROR(FIND("-",$B3)),
        "〇",
        "×"
    )
)</f>
        <v>〇</v>
      </c>
      <c r="Q3" s="13" t="str">
        <f>IF(
    $C3="",
    "",
    IF(
        ISERROR(FIND("-",$C3)),
        "〇",
        "×"
    )
)</f>
        <v>〇</v>
      </c>
      <c r="R3" s="10" t="str">
        <f t="shared" ref="R3:R34" si="3">IF(
    B3="",
    "",
    SUBSTITUTE($C3,"-","－")&amp;" - "&amp;
    SUBSTITUTE($B3,"-","－")&amp;" - "&amp;
    $I3
)</f>
        <v>Selena Serrano &amp; Pressure - Love Me Right (Minor Riddim) - 0:00:00</v>
      </c>
      <c r="S3" s="7" t="s">
        <v>9</v>
      </c>
      <c r="T3" s="10" t="str">
        <f t="shared" ref="T3:T34" ca="1" si="4">IF(
    B3="",
    "",
    TEXT($A3,"00 ")&amp;B3&amp;CHAR(9)&amp;
    B3&amp;CHAR(9)&amp;
    C3&amp;CHAR(9)&amp;
    "Tatsuya Endo"&amp;CHAR(9)&amp;
    D3&amp;CHAR(9)&amp;
    A3&amp;CHAR(9)&amp;
    E3&amp;CHAR(9)&amp;
    F3&amp;CHAR(9)&amp;
    REPT(CHAR(9),9)
)</f>
        <v xml:space="preserve">01 Love Me Right (Minor Riddim)	Love Me Right (Minor Riddim)	Selena Serrano &amp; Pressure	Tatsuya Endo	Minor Riddim	1	2010	Reggae@Riddim										</v>
      </c>
      <c r="U3" s="7" t="s">
        <v>9</v>
      </c>
    </row>
    <row r="4" spans="1:21" s="2" customFormat="1" ht="12" customHeight="1" x14ac:dyDescent="0.4">
      <c r="A4" s="9">
        <f t="shared" ca="1" si="0"/>
        <v>2</v>
      </c>
      <c r="B4" s="6" t="s">
        <v>24</v>
      </c>
      <c r="C4" s="6" t="s">
        <v>25</v>
      </c>
      <c r="D4" s="6" t="s">
        <v>26</v>
      </c>
      <c r="E4" s="11">
        <v>2010</v>
      </c>
      <c r="F4" s="11" t="s">
        <v>27</v>
      </c>
      <c r="G4" s="7"/>
      <c r="H4" s="21">
        <v>1.0069444444444444E-3</v>
      </c>
      <c r="I4" s="24" t="str">
        <f t="shared" ref="I4:I67" si="5">IF(H4="","",TEXT(H4,"h:mm:ss"))</f>
        <v>0:01:27</v>
      </c>
      <c r="J4" s="25" t="str">
        <f t="shared" ref="J4:J67" ca="1" si="6">IF(OFFSET(J4,1,-1)&lt;&gt;"",OFFSET(J4,1,-1),"")</f>
        <v>0:02:30</v>
      </c>
      <c r="K4" s="22">
        <f t="shared" ref="K4:K67" si="7">IF(H4&lt;&gt;"",(H4/"0:0:1"),"")</f>
        <v>87</v>
      </c>
      <c r="L4" s="23">
        <f t="shared" ca="1" si="1"/>
        <v>150</v>
      </c>
      <c r="M4" s="7"/>
      <c r="N4" s="10" t="str">
        <f t="shared" ca="1" si="2"/>
        <v>87	150	L002</v>
      </c>
      <c r="O4" s="7"/>
      <c r="P4" s="12" t="str">
        <f t="shared" ref="P4:P67" si="8">IF(
    $B4="",
    "",
    IF(
        ISERROR(FIND("-",$B4)),
        "〇",
        "×"
    )
)</f>
        <v>〇</v>
      </c>
      <c r="Q4" s="13" t="str">
        <f t="shared" ref="Q4:Q67" si="9">IF(
    $C4="",
    "",
    IF(
        ISERROR(FIND("-",$C4)),
        "〇",
        "×"
    )
)</f>
        <v>〇</v>
      </c>
      <c r="R4" s="10" t="str">
        <f t="shared" si="3"/>
        <v>Fiji - Send Me an Angel (Minor Riddim) - 0:01:27</v>
      </c>
      <c r="S4" s="7" t="s">
        <v>9</v>
      </c>
      <c r="T4" s="10" t="str">
        <f t="shared" ca="1" si="4"/>
        <v xml:space="preserve">02 Send Me an Angel (Minor Riddim)	Send Me an Angel (Minor Riddim)	Fiji	Tatsuya Endo	Minor Riddim	2	2010	Reggae@Riddim										</v>
      </c>
      <c r="U4" s="7" t="s">
        <v>9</v>
      </c>
    </row>
    <row r="5" spans="1:21" s="2" customFormat="1" ht="12" customHeight="1" x14ac:dyDescent="0.4">
      <c r="A5" s="9">
        <f t="shared" ca="1" si="0"/>
        <v>3</v>
      </c>
      <c r="B5" s="6" t="s">
        <v>28</v>
      </c>
      <c r="C5" s="6" t="s">
        <v>29</v>
      </c>
      <c r="D5" s="6" t="s">
        <v>26</v>
      </c>
      <c r="E5" s="11">
        <v>2010</v>
      </c>
      <c r="F5" s="11" t="s">
        <v>27</v>
      </c>
      <c r="G5" s="7"/>
      <c r="H5" s="21">
        <v>1.736111111111111E-3</v>
      </c>
      <c r="I5" s="24" t="str">
        <f t="shared" si="5"/>
        <v>0:02:30</v>
      </c>
      <c r="J5" s="25" t="str">
        <f t="shared" ca="1" si="6"/>
        <v>0:03:35</v>
      </c>
      <c r="K5" s="22">
        <f t="shared" si="7"/>
        <v>150</v>
      </c>
      <c r="L5" s="23">
        <f t="shared" ca="1" si="1"/>
        <v>215.00000000000003</v>
      </c>
      <c r="M5" s="7"/>
      <c r="N5" s="10" t="str">
        <f t="shared" ca="1" si="2"/>
        <v>150	215	L003</v>
      </c>
      <c r="O5" s="7"/>
      <c r="P5" s="12" t="str">
        <f t="shared" si="8"/>
        <v>〇</v>
      </c>
      <c r="Q5" s="13" t="str">
        <f t="shared" si="9"/>
        <v>〇</v>
      </c>
      <c r="R5" s="10" t="str">
        <f t="shared" si="3"/>
        <v>Vybz Kartel - A Like That (Minor Riddim) - 0:02:30</v>
      </c>
      <c r="S5" s="7" t="s">
        <v>9</v>
      </c>
      <c r="T5" s="10" t="str">
        <f t="shared" ca="1" si="4"/>
        <v xml:space="preserve">03 A Like That (Minor Riddim)	A Like That (Minor Riddim)	Vybz Kartel	Tatsuya Endo	Minor Riddim	3	2010	Reggae@Riddim										</v>
      </c>
      <c r="U5" s="7" t="s">
        <v>9</v>
      </c>
    </row>
    <row r="6" spans="1:21" s="2" customFormat="1" ht="12" customHeight="1" x14ac:dyDescent="0.4">
      <c r="A6" s="9">
        <f t="shared" ca="1" si="0"/>
        <v>4</v>
      </c>
      <c r="B6" s="6" t="s">
        <v>30</v>
      </c>
      <c r="C6" s="6" t="s">
        <v>31</v>
      </c>
      <c r="D6" s="6" t="s">
        <v>26</v>
      </c>
      <c r="E6" s="11">
        <v>2010</v>
      </c>
      <c r="F6" s="11" t="s">
        <v>27</v>
      </c>
      <c r="G6" s="7"/>
      <c r="H6" s="21">
        <v>2.488425925925926E-3</v>
      </c>
      <c r="I6" s="24" t="str">
        <f t="shared" si="5"/>
        <v>0:03:35</v>
      </c>
      <c r="J6" s="25" t="str">
        <f t="shared" ca="1" si="6"/>
        <v>0:04:37</v>
      </c>
      <c r="K6" s="22">
        <f t="shared" si="7"/>
        <v>215.00000000000003</v>
      </c>
      <c r="L6" s="23">
        <f t="shared" ca="1" si="1"/>
        <v>277.00000000000006</v>
      </c>
      <c r="M6" s="7"/>
      <c r="N6" s="10" t="str">
        <f t="shared" ca="1" si="2"/>
        <v>215	277	L004</v>
      </c>
      <c r="O6" s="7"/>
      <c r="P6" s="12" t="str">
        <f t="shared" si="8"/>
        <v>〇</v>
      </c>
      <c r="Q6" s="13" t="str">
        <f t="shared" si="9"/>
        <v>〇</v>
      </c>
      <c r="R6" s="10" t="str">
        <f t="shared" si="3"/>
        <v>LP - Name &amp; Number (Minor Riddim) - 0:03:35</v>
      </c>
      <c r="S6" s="7" t="s">
        <v>9</v>
      </c>
      <c r="T6" s="10" t="str">
        <f t="shared" ca="1" si="4"/>
        <v xml:space="preserve">04 Name &amp; Number (Minor Riddim)	Name &amp; Number (Minor Riddim)	LP	Tatsuya Endo	Minor Riddim	4	2010	Reggae@Riddim										</v>
      </c>
      <c r="U6" s="7" t="s">
        <v>9</v>
      </c>
    </row>
    <row r="7" spans="1:21" s="2" customFormat="1" ht="12" customHeight="1" x14ac:dyDescent="0.4">
      <c r="A7" s="9">
        <f t="shared" ca="1" si="0"/>
        <v>5</v>
      </c>
      <c r="B7" s="6" t="s">
        <v>32</v>
      </c>
      <c r="C7" s="6" t="s">
        <v>19</v>
      </c>
      <c r="D7" s="6" t="s">
        <v>26</v>
      </c>
      <c r="E7" s="11">
        <v>2010</v>
      </c>
      <c r="F7" s="11" t="s">
        <v>27</v>
      </c>
      <c r="G7" s="7"/>
      <c r="H7" s="21">
        <v>3.2060185185185191E-3</v>
      </c>
      <c r="I7" s="24" t="str">
        <f t="shared" si="5"/>
        <v>0:04:37</v>
      </c>
      <c r="J7" s="25" t="str">
        <f t="shared" ca="1" si="6"/>
        <v>0:05:41</v>
      </c>
      <c r="K7" s="22">
        <f t="shared" si="7"/>
        <v>277.00000000000006</v>
      </c>
      <c r="L7" s="23">
        <f t="shared" ca="1" si="1"/>
        <v>341</v>
      </c>
      <c r="M7" s="7"/>
      <c r="N7" s="10" t="str">
        <f t="shared" ca="1" si="2"/>
        <v>277	341	L005</v>
      </c>
      <c r="O7" s="7"/>
      <c r="P7" s="12" t="str">
        <f t="shared" si="8"/>
        <v>〇</v>
      </c>
      <c r="Q7" s="13" t="str">
        <f t="shared" si="9"/>
        <v>〇</v>
      </c>
      <c r="R7" s="10" t="str">
        <f t="shared" si="3"/>
        <v>Lutan Fyah - Over Come Dem (Minor Riddim) - 0:04:37</v>
      </c>
      <c r="S7" s="7" t="s">
        <v>9</v>
      </c>
      <c r="T7" s="10" t="str">
        <f t="shared" ca="1" si="4"/>
        <v xml:space="preserve">05 Over Come Dem (Minor Riddim)	Over Come Dem (Minor Riddim)	Lutan Fyah	Tatsuya Endo	Minor Riddim	5	2010	Reggae@Riddim										</v>
      </c>
      <c r="U7" s="7" t="s">
        <v>9</v>
      </c>
    </row>
    <row r="8" spans="1:21" s="2" customFormat="1" ht="12" customHeight="1" x14ac:dyDescent="0.4">
      <c r="A8" s="9">
        <f t="shared" ca="1" si="0"/>
        <v>6</v>
      </c>
      <c r="B8" s="6" t="s">
        <v>33</v>
      </c>
      <c r="C8" s="6" t="s">
        <v>34</v>
      </c>
      <c r="D8" s="6" t="s">
        <v>26</v>
      </c>
      <c r="E8" s="11">
        <v>2010</v>
      </c>
      <c r="F8" s="11" t="s">
        <v>27</v>
      </c>
      <c r="G8" s="7"/>
      <c r="H8" s="21">
        <v>3.9467592592592592E-3</v>
      </c>
      <c r="I8" s="24" t="str">
        <f t="shared" si="5"/>
        <v>0:05:41</v>
      </c>
      <c r="J8" s="25" t="str">
        <f t="shared" ca="1" si="6"/>
        <v>0:06:45</v>
      </c>
      <c r="K8" s="22">
        <f t="shared" si="7"/>
        <v>341</v>
      </c>
      <c r="L8" s="23">
        <f t="shared" ca="1" si="1"/>
        <v>405</v>
      </c>
      <c r="M8" s="7"/>
      <c r="N8" s="10" t="str">
        <f t="shared" ca="1" si="2"/>
        <v>341	405	L006</v>
      </c>
      <c r="O8" s="7"/>
      <c r="P8" s="12" t="str">
        <f t="shared" si="8"/>
        <v>〇</v>
      </c>
      <c r="Q8" s="13" t="str">
        <f t="shared" si="9"/>
        <v>〇</v>
      </c>
      <c r="R8" s="10" t="str">
        <f t="shared" si="3"/>
        <v>Protoje - Roll (Minor Riddim) - 0:05:41</v>
      </c>
      <c r="S8" s="7" t="s">
        <v>9</v>
      </c>
      <c r="T8" s="10" t="str">
        <f t="shared" ca="1" si="4"/>
        <v xml:space="preserve">06 Roll (Minor Riddim)	Roll (Minor Riddim)	Protoje	Tatsuya Endo	Minor Riddim	6	2010	Reggae@Riddim										</v>
      </c>
      <c r="U8" s="7" t="s">
        <v>9</v>
      </c>
    </row>
    <row r="9" spans="1:21" s="2" customFormat="1" ht="12" customHeight="1" x14ac:dyDescent="0.4">
      <c r="A9" s="9">
        <f t="shared" ca="1" si="0"/>
        <v>7</v>
      </c>
      <c r="B9" s="6" t="s">
        <v>39</v>
      </c>
      <c r="C9" s="6" t="s">
        <v>40</v>
      </c>
      <c r="D9" s="6" t="s">
        <v>26</v>
      </c>
      <c r="E9" s="11">
        <v>2010</v>
      </c>
      <c r="F9" s="11" t="s">
        <v>27</v>
      </c>
      <c r="G9" s="7"/>
      <c r="H9" s="21">
        <v>4.6874999999999998E-3</v>
      </c>
      <c r="I9" s="24" t="str">
        <f t="shared" si="5"/>
        <v>0:06:45</v>
      </c>
      <c r="J9" s="25" t="str">
        <f t="shared" ca="1" si="6"/>
        <v>0:07:47</v>
      </c>
      <c r="K9" s="22">
        <f t="shared" si="7"/>
        <v>405</v>
      </c>
      <c r="L9" s="23">
        <f t="shared" ca="1" si="1"/>
        <v>467</v>
      </c>
      <c r="M9" s="7"/>
      <c r="N9" s="10" t="str">
        <f t="shared" ca="1" si="2"/>
        <v>405	467	L007</v>
      </c>
      <c r="O9" s="7"/>
      <c r="P9" s="12" t="str">
        <f t="shared" si="8"/>
        <v>〇</v>
      </c>
      <c r="Q9" s="13" t="str">
        <f t="shared" si="9"/>
        <v>〇</v>
      </c>
      <c r="R9" s="10" t="str">
        <f t="shared" si="3"/>
        <v>Toi - Love Like This (Minor Riddim) - 0:06:45</v>
      </c>
      <c r="S9" s="7" t="s">
        <v>9</v>
      </c>
      <c r="T9" s="10" t="str">
        <f t="shared" ca="1" si="4"/>
        <v xml:space="preserve">07 Love Like This (Minor Riddim)	Love Like This (Minor Riddim)	Toi	Tatsuya Endo	Minor Riddim	7	2010	Reggae@Riddim										</v>
      </c>
      <c r="U9" s="7" t="s">
        <v>9</v>
      </c>
    </row>
    <row r="10" spans="1:21" s="2" customFormat="1" ht="12" customHeight="1" x14ac:dyDescent="0.4">
      <c r="A10" s="9">
        <f t="shared" ca="1" si="0"/>
        <v>8</v>
      </c>
      <c r="B10" s="6" t="s">
        <v>37</v>
      </c>
      <c r="C10" s="6" t="s">
        <v>38</v>
      </c>
      <c r="D10" s="6" t="s">
        <v>26</v>
      </c>
      <c r="E10" s="11">
        <v>2010</v>
      </c>
      <c r="F10" s="11" t="s">
        <v>27</v>
      </c>
      <c r="G10" s="7"/>
      <c r="H10" s="21">
        <v>5.4050925925925924E-3</v>
      </c>
      <c r="I10" s="24" t="str">
        <f t="shared" si="5"/>
        <v>0:07:47</v>
      </c>
      <c r="J10" s="25" t="str">
        <f t="shared" ca="1" si="6"/>
        <v/>
      </c>
      <c r="K10" s="22">
        <f t="shared" si="7"/>
        <v>467</v>
      </c>
      <c r="L10" s="23" t="str">
        <f t="shared" ca="1" si="1"/>
        <v/>
      </c>
      <c r="M10" s="7"/>
      <c r="N10" s="10" t="str">
        <f t="shared" ca="1" si="2"/>
        <v>467		L008</v>
      </c>
      <c r="O10" s="7"/>
      <c r="P10" s="12" t="str">
        <f t="shared" si="8"/>
        <v>〇</v>
      </c>
      <c r="Q10" s="13" t="str">
        <f t="shared" si="9"/>
        <v>〇</v>
      </c>
      <c r="R10" s="10" t="str">
        <f t="shared" si="3"/>
        <v>Tami Chynn - Forbidden Love (Minor Riddim) - 0:07:47</v>
      </c>
      <c r="S10" s="7" t="s">
        <v>9</v>
      </c>
      <c r="T10" s="10" t="str">
        <f t="shared" ca="1" si="4"/>
        <v xml:space="preserve">08 Forbidden Love (Minor Riddim)	Forbidden Love (Minor Riddim)	Tami Chynn	Tatsuya Endo	Minor Riddim	8	2010	Reggae@Riddim										</v>
      </c>
      <c r="U10" s="7" t="s">
        <v>9</v>
      </c>
    </row>
    <row r="11" spans="1:21" s="2" customFormat="1" ht="12" customHeight="1" x14ac:dyDescent="0.4">
      <c r="A11" s="9" t="str">
        <f t="shared" ca="1" si="0"/>
        <v/>
      </c>
      <c r="B11" s="6"/>
      <c r="C11" s="6"/>
      <c r="D11" s="6"/>
      <c r="E11" s="11"/>
      <c r="F11" s="11"/>
      <c r="G11" s="7"/>
      <c r="H11" s="21"/>
      <c r="I11" s="24" t="str">
        <f t="shared" si="5"/>
        <v/>
      </c>
      <c r="J11" s="25" t="str">
        <f t="shared" ca="1" si="6"/>
        <v/>
      </c>
      <c r="K11" s="22" t="str">
        <f t="shared" si="7"/>
        <v/>
      </c>
      <c r="L11" s="23" t="str">
        <f t="shared" ca="1" si="1"/>
        <v/>
      </c>
      <c r="M11" s="7"/>
      <c r="N11" s="10" t="str">
        <f t="shared" si="2"/>
        <v/>
      </c>
      <c r="O11" s="7"/>
      <c r="P11" s="12" t="str">
        <f t="shared" si="8"/>
        <v/>
      </c>
      <c r="Q11" s="13" t="str">
        <f t="shared" si="9"/>
        <v/>
      </c>
      <c r="R11" s="10" t="str">
        <f t="shared" si="3"/>
        <v/>
      </c>
      <c r="S11" s="7" t="s">
        <v>9</v>
      </c>
      <c r="T11" s="10" t="str">
        <f t="shared" si="4"/>
        <v/>
      </c>
      <c r="U11" s="7" t="s">
        <v>9</v>
      </c>
    </row>
    <row r="12" spans="1:21" s="2" customFormat="1" ht="12" customHeight="1" x14ac:dyDescent="0.4">
      <c r="A12" s="9" t="str">
        <f t="shared" ca="1" si="0"/>
        <v/>
      </c>
      <c r="B12" s="6"/>
      <c r="C12" s="6"/>
      <c r="D12" s="6"/>
      <c r="E12" s="11"/>
      <c r="F12" s="11"/>
      <c r="G12" s="7"/>
      <c r="H12" s="21"/>
      <c r="I12" s="24" t="str">
        <f t="shared" si="5"/>
        <v/>
      </c>
      <c r="J12" s="25" t="str">
        <f t="shared" ca="1" si="6"/>
        <v/>
      </c>
      <c r="K12" s="22" t="str">
        <f t="shared" si="7"/>
        <v/>
      </c>
      <c r="L12" s="23" t="str">
        <f t="shared" ca="1" si="1"/>
        <v/>
      </c>
      <c r="M12" s="7"/>
      <c r="N12" s="10" t="str">
        <f t="shared" si="2"/>
        <v/>
      </c>
      <c r="O12" s="7"/>
      <c r="P12" s="12" t="str">
        <f t="shared" si="8"/>
        <v/>
      </c>
      <c r="Q12" s="13" t="str">
        <f t="shared" si="9"/>
        <v/>
      </c>
      <c r="R12" s="10" t="str">
        <f t="shared" si="3"/>
        <v/>
      </c>
      <c r="S12" s="7" t="s">
        <v>9</v>
      </c>
      <c r="T12" s="10" t="str">
        <f t="shared" si="4"/>
        <v/>
      </c>
      <c r="U12" s="7" t="s">
        <v>9</v>
      </c>
    </row>
    <row r="13" spans="1:21" s="2" customFormat="1" ht="12" customHeight="1" x14ac:dyDescent="0.4">
      <c r="A13" s="9" t="str">
        <f t="shared" ca="1" si="0"/>
        <v/>
      </c>
      <c r="B13" s="6"/>
      <c r="C13" s="6"/>
      <c r="D13" s="6"/>
      <c r="E13" s="11"/>
      <c r="F13" s="11"/>
      <c r="G13" s="7"/>
      <c r="H13" s="21"/>
      <c r="I13" s="24" t="str">
        <f t="shared" si="5"/>
        <v/>
      </c>
      <c r="J13" s="25" t="str">
        <f t="shared" ca="1" si="6"/>
        <v/>
      </c>
      <c r="K13" s="22" t="str">
        <f t="shared" si="7"/>
        <v/>
      </c>
      <c r="L13" s="23" t="str">
        <f t="shared" ca="1" si="1"/>
        <v/>
      </c>
      <c r="M13" s="7"/>
      <c r="N13" s="10" t="str">
        <f t="shared" si="2"/>
        <v/>
      </c>
      <c r="O13" s="7"/>
      <c r="P13" s="12" t="str">
        <f t="shared" si="8"/>
        <v/>
      </c>
      <c r="Q13" s="13" t="str">
        <f t="shared" si="9"/>
        <v/>
      </c>
      <c r="R13" s="10" t="str">
        <f t="shared" si="3"/>
        <v/>
      </c>
      <c r="S13" s="7" t="s">
        <v>9</v>
      </c>
      <c r="T13" s="10" t="str">
        <f t="shared" si="4"/>
        <v/>
      </c>
      <c r="U13" s="7" t="s">
        <v>9</v>
      </c>
    </row>
    <row r="14" spans="1:21" s="2" customFormat="1" ht="12" customHeight="1" x14ac:dyDescent="0.4">
      <c r="A14" s="9" t="str">
        <f t="shared" ca="1" si="0"/>
        <v/>
      </c>
      <c r="B14" s="6"/>
      <c r="C14" s="6"/>
      <c r="D14" s="6"/>
      <c r="E14" s="11"/>
      <c r="F14" s="11"/>
      <c r="G14" s="7"/>
      <c r="H14" s="21"/>
      <c r="I14" s="24" t="str">
        <f t="shared" si="5"/>
        <v/>
      </c>
      <c r="J14" s="25" t="str">
        <f t="shared" ca="1" si="6"/>
        <v/>
      </c>
      <c r="K14" s="22" t="str">
        <f t="shared" si="7"/>
        <v/>
      </c>
      <c r="L14" s="23" t="str">
        <f t="shared" ca="1" si="1"/>
        <v/>
      </c>
      <c r="M14" s="7"/>
      <c r="N14" s="10" t="str">
        <f t="shared" si="2"/>
        <v/>
      </c>
      <c r="O14" s="7"/>
      <c r="P14" s="12" t="str">
        <f t="shared" si="8"/>
        <v/>
      </c>
      <c r="Q14" s="13" t="str">
        <f t="shared" si="9"/>
        <v/>
      </c>
      <c r="R14" s="10" t="str">
        <f t="shared" si="3"/>
        <v/>
      </c>
      <c r="S14" s="7" t="s">
        <v>9</v>
      </c>
      <c r="T14" s="10" t="str">
        <f t="shared" si="4"/>
        <v/>
      </c>
      <c r="U14" s="7" t="s">
        <v>9</v>
      </c>
    </row>
    <row r="15" spans="1:21" s="2" customFormat="1" ht="12" customHeight="1" x14ac:dyDescent="0.4">
      <c r="A15" s="9" t="str">
        <f t="shared" ca="1" si="0"/>
        <v/>
      </c>
      <c r="B15" s="6"/>
      <c r="C15" s="6"/>
      <c r="D15" s="6"/>
      <c r="E15" s="11"/>
      <c r="F15" s="11"/>
      <c r="G15" s="7"/>
      <c r="H15" s="21"/>
      <c r="I15" s="24" t="str">
        <f t="shared" si="5"/>
        <v/>
      </c>
      <c r="J15" s="25" t="str">
        <f t="shared" ca="1" si="6"/>
        <v/>
      </c>
      <c r="K15" s="22" t="str">
        <f t="shared" si="7"/>
        <v/>
      </c>
      <c r="L15" s="23" t="str">
        <f t="shared" ca="1" si="1"/>
        <v/>
      </c>
      <c r="M15" s="7"/>
      <c r="N15" s="10" t="str">
        <f t="shared" si="2"/>
        <v/>
      </c>
      <c r="O15" s="7"/>
      <c r="P15" s="12" t="str">
        <f t="shared" si="8"/>
        <v/>
      </c>
      <c r="Q15" s="13" t="str">
        <f t="shared" si="9"/>
        <v/>
      </c>
      <c r="R15" s="10" t="str">
        <f t="shared" si="3"/>
        <v/>
      </c>
      <c r="S15" s="7" t="s">
        <v>9</v>
      </c>
      <c r="T15" s="10" t="str">
        <f t="shared" si="4"/>
        <v/>
      </c>
      <c r="U15" s="7" t="s">
        <v>9</v>
      </c>
    </row>
    <row r="16" spans="1:21" s="2" customFormat="1" ht="12" customHeight="1" x14ac:dyDescent="0.4">
      <c r="A16" s="9" t="str">
        <f t="shared" ca="1" si="0"/>
        <v/>
      </c>
      <c r="B16" s="6"/>
      <c r="C16" s="6"/>
      <c r="D16" s="6"/>
      <c r="E16" s="11"/>
      <c r="F16" s="11"/>
      <c r="G16" s="7"/>
      <c r="H16" s="21"/>
      <c r="I16" s="24" t="str">
        <f t="shared" si="5"/>
        <v/>
      </c>
      <c r="J16" s="25" t="str">
        <f t="shared" ca="1" si="6"/>
        <v/>
      </c>
      <c r="K16" s="22" t="str">
        <f t="shared" si="7"/>
        <v/>
      </c>
      <c r="L16" s="23" t="str">
        <f t="shared" ca="1" si="1"/>
        <v/>
      </c>
      <c r="M16" s="7"/>
      <c r="N16" s="10" t="str">
        <f t="shared" si="2"/>
        <v/>
      </c>
      <c r="O16" s="7"/>
      <c r="P16" s="12" t="str">
        <f t="shared" si="8"/>
        <v/>
      </c>
      <c r="Q16" s="13" t="str">
        <f t="shared" si="9"/>
        <v/>
      </c>
      <c r="R16" s="10" t="str">
        <f t="shared" si="3"/>
        <v/>
      </c>
      <c r="S16" s="7" t="s">
        <v>9</v>
      </c>
      <c r="T16" s="10" t="str">
        <f t="shared" si="4"/>
        <v/>
      </c>
      <c r="U16" s="7" t="s">
        <v>9</v>
      </c>
    </row>
    <row r="17" spans="1:21" s="2" customFormat="1" ht="12" customHeight="1" x14ac:dyDescent="0.4">
      <c r="A17" s="9" t="str">
        <f t="shared" ca="1" si="0"/>
        <v/>
      </c>
      <c r="B17" s="6"/>
      <c r="C17" s="6"/>
      <c r="D17" s="6"/>
      <c r="E17" s="11"/>
      <c r="F17" s="11"/>
      <c r="G17" s="7"/>
      <c r="H17" s="21"/>
      <c r="I17" s="24" t="str">
        <f t="shared" si="5"/>
        <v/>
      </c>
      <c r="J17" s="25" t="str">
        <f t="shared" ca="1" si="6"/>
        <v/>
      </c>
      <c r="K17" s="22" t="str">
        <f t="shared" si="7"/>
        <v/>
      </c>
      <c r="L17" s="23" t="str">
        <f t="shared" ca="1" si="1"/>
        <v/>
      </c>
      <c r="M17" s="7"/>
      <c r="N17" s="10" t="str">
        <f t="shared" si="2"/>
        <v/>
      </c>
      <c r="O17" s="7"/>
      <c r="P17" s="12" t="str">
        <f t="shared" si="8"/>
        <v/>
      </c>
      <c r="Q17" s="13" t="str">
        <f t="shared" si="9"/>
        <v/>
      </c>
      <c r="R17" s="10" t="str">
        <f t="shared" si="3"/>
        <v/>
      </c>
      <c r="S17" s="7" t="s">
        <v>9</v>
      </c>
      <c r="T17" s="10" t="str">
        <f t="shared" si="4"/>
        <v/>
      </c>
      <c r="U17" s="7" t="s">
        <v>9</v>
      </c>
    </row>
    <row r="18" spans="1:21" s="2" customFormat="1" ht="12" customHeight="1" x14ac:dyDescent="0.4">
      <c r="A18" s="9" t="str">
        <f t="shared" ca="1" si="0"/>
        <v/>
      </c>
      <c r="B18" s="6"/>
      <c r="C18" s="6"/>
      <c r="D18" s="6"/>
      <c r="E18" s="11"/>
      <c r="F18" s="11"/>
      <c r="G18" s="7"/>
      <c r="H18" s="21"/>
      <c r="I18" s="24" t="str">
        <f t="shared" si="5"/>
        <v/>
      </c>
      <c r="J18" s="25" t="str">
        <f t="shared" ca="1" si="6"/>
        <v/>
      </c>
      <c r="K18" s="22" t="str">
        <f t="shared" si="7"/>
        <v/>
      </c>
      <c r="L18" s="23" t="str">
        <f t="shared" ca="1" si="1"/>
        <v/>
      </c>
      <c r="M18" s="7"/>
      <c r="N18" s="10" t="str">
        <f t="shared" si="2"/>
        <v/>
      </c>
      <c r="O18" s="7"/>
      <c r="P18" s="12" t="str">
        <f t="shared" si="8"/>
        <v/>
      </c>
      <c r="Q18" s="13" t="str">
        <f t="shared" si="9"/>
        <v/>
      </c>
      <c r="R18" s="10" t="str">
        <f t="shared" si="3"/>
        <v/>
      </c>
      <c r="S18" s="7" t="s">
        <v>9</v>
      </c>
      <c r="T18" s="10" t="str">
        <f t="shared" si="4"/>
        <v/>
      </c>
      <c r="U18" s="7" t="s">
        <v>9</v>
      </c>
    </row>
    <row r="19" spans="1:21" s="2" customFormat="1" ht="12" customHeight="1" x14ac:dyDescent="0.4">
      <c r="A19" s="9" t="str">
        <f t="shared" ca="1" si="0"/>
        <v/>
      </c>
      <c r="B19" s="6"/>
      <c r="C19" s="6"/>
      <c r="D19" s="6"/>
      <c r="E19" s="11"/>
      <c r="F19" s="11"/>
      <c r="G19" s="7"/>
      <c r="H19" s="21"/>
      <c r="I19" s="24" t="str">
        <f t="shared" si="5"/>
        <v/>
      </c>
      <c r="J19" s="25" t="str">
        <f t="shared" ca="1" si="6"/>
        <v/>
      </c>
      <c r="K19" s="22" t="str">
        <f t="shared" si="7"/>
        <v/>
      </c>
      <c r="L19" s="23" t="str">
        <f t="shared" ca="1" si="1"/>
        <v/>
      </c>
      <c r="M19" s="7"/>
      <c r="N19" s="10" t="str">
        <f t="shared" si="2"/>
        <v/>
      </c>
      <c r="O19" s="7"/>
      <c r="P19" s="12" t="str">
        <f t="shared" si="8"/>
        <v/>
      </c>
      <c r="Q19" s="13" t="str">
        <f t="shared" si="9"/>
        <v/>
      </c>
      <c r="R19" s="10" t="str">
        <f t="shared" si="3"/>
        <v/>
      </c>
      <c r="S19" s="7" t="s">
        <v>9</v>
      </c>
      <c r="T19" s="10" t="str">
        <f t="shared" si="4"/>
        <v/>
      </c>
      <c r="U19" s="7" t="s">
        <v>9</v>
      </c>
    </row>
    <row r="20" spans="1:21" s="2" customFormat="1" ht="12" customHeight="1" x14ac:dyDescent="0.4">
      <c r="A20" s="9" t="str">
        <f t="shared" ca="1" si="0"/>
        <v/>
      </c>
      <c r="B20" s="6"/>
      <c r="C20" s="6"/>
      <c r="D20" s="6"/>
      <c r="E20" s="11"/>
      <c r="F20" s="11"/>
      <c r="G20" s="7"/>
      <c r="H20" s="21"/>
      <c r="I20" s="24" t="str">
        <f t="shared" si="5"/>
        <v/>
      </c>
      <c r="J20" s="25" t="str">
        <f t="shared" ca="1" si="6"/>
        <v/>
      </c>
      <c r="K20" s="22" t="str">
        <f t="shared" si="7"/>
        <v/>
      </c>
      <c r="L20" s="23" t="str">
        <f t="shared" ca="1" si="1"/>
        <v/>
      </c>
      <c r="M20" s="7"/>
      <c r="N20" s="10" t="str">
        <f t="shared" si="2"/>
        <v/>
      </c>
      <c r="O20" s="7"/>
      <c r="P20" s="12" t="str">
        <f t="shared" si="8"/>
        <v/>
      </c>
      <c r="Q20" s="13" t="str">
        <f t="shared" si="9"/>
        <v/>
      </c>
      <c r="R20" s="10" t="str">
        <f t="shared" si="3"/>
        <v/>
      </c>
      <c r="S20" s="7" t="s">
        <v>9</v>
      </c>
      <c r="T20" s="10" t="str">
        <f t="shared" si="4"/>
        <v/>
      </c>
      <c r="U20" s="7" t="s">
        <v>9</v>
      </c>
    </row>
    <row r="21" spans="1:21" s="2" customFormat="1" ht="12" customHeight="1" x14ac:dyDescent="0.4">
      <c r="A21" s="9" t="str">
        <f t="shared" ca="1" si="0"/>
        <v/>
      </c>
      <c r="B21" s="6"/>
      <c r="C21" s="6"/>
      <c r="D21" s="6"/>
      <c r="E21" s="11"/>
      <c r="F21" s="11"/>
      <c r="G21" s="7"/>
      <c r="H21" s="21"/>
      <c r="I21" s="24" t="str">
        <f t="shared" si="5"/>
        <v/>
      </c>
      <c r="J21" s="25" t="str">
        <f t="shared" ca="1" si="6"/>
        <v/>
      </c>
      <c r="K21" s="22" t="str">
        <f t="shared" si="7"/>
        <v/>
      </c>
      <c r="L21" s="23" t="str">
        <f t="shared" ca="1" si="1"/>
        <v/>
      </c>
      <c r="M21" s="7"/>
      <c r="N21" s="10" t="str">
        <f t="shared" si="2"/>
        <v/>
      </c>
      <c r="O21" s="7"/>
      <c r="P21" s="12" t="str">
        <f t="shared" si="8"/>
        <v/>
      </c>
      <c r="Q21" s="13" t="str">
        <f t="shared" si="9"/>
        <v/>
      </c>
      <c r="R21" s="10" t="str">
        <f t="shared" si="3"/>
        <v/>
      </c>
      <c r="S21" s="7" t="s">
        <v>9</v>
      </c>
      <c r="T21" s="10" t="str">
        <f t="shared" si="4"/>
        <v/>
      </c>
      <c r="U21" s="7" t="s">
        <v>9</v>
      </c>
    </row>
    <row r="22" spans="1:21" s="2" customFormat="1" ht="12" customHeight="1" x14ac:dyDescent="0.4">
      <c r="A22" s="9" t="str">
        <f t="shared" ca="1" si="0"/>
        <v/>
      </c>
      <c r="B22" s="6"/>
      <c r="C22" s="6"/>
      <c r="D22" s="6"/>
      <c r="E22" s="11"/>
      <c r="F22" s="11"/>
      <c r="G22" s="7"/>
      <c r="H22" s="21"/>
      <c r="I22" s="24" t="str">
        <f t="shared" si="5"/>
        <v/>
      </c>
      <c r="J22" s="25" t="str">
        <f t="shared" ca="1" si="6"/>
        <v/>
      </c>
      <c r="K22" s="22" t="str">
        <f t="shared" si="7"/>
        <v/>
      </c>
      <c r="L22" s="23" t="str">
        <f t="shared" ca="1" si="1"/>
        <v/>
      </c>
      <c r="M22" s="7"/>
      <c r="N22" s="10" t="str">
        <f t="shared" si="2"/>
        <v/>
      </c>
      <c r="O22" s="7"/>
      <c r="P22" s="12" t="str">
        <f t="shared" si="8"/>
        <v/>
      </c>
      <c r="Q22" s="13" t="str">
        <f t="shared" si="9"/>
        <v/>
      </c>
      <c r="R22" s="10" t="str">
        <f t="shared" si="3"/>
        <v/>
      </c>
      <c r="S22" s="7" t="s">
        <v>9</v>
      </c>
      <c r="T22" s="10" t="str">
        <f t="shared" si="4"/>
        <v/>
      </c>
      <c r="U22" s="7" t="s">
        <v>9</v>
      </c>
    </row>
    <row r="23" spans="1:21" s="2" customFormat="1" ht="12" customHeight="1" x14ac:dyDescent="0.4">
      <c r="A23" s="9" t="str">
        <f t="shared" ca="1" si="0"/>
        <v/>
      </c>
      <c r="B23" s="6"/>
      <c r="C23" s="6"/>
      <c r="D23" s="6"/>
      <c r="E23" s="11"/>
      <c r="F23" s="11"/>
      <c r="G23" s="7"/>
      <c r="H23" s="21"/>
      <c r="I23" s="24" t="str">
        <f t="shared" si="5"/>
        <v/>
      </c>
      <c r="J23" s="25" t="str">
        <f t="shared" ca="1" si="6"/>
        <v/>
      </c>
      <c r="K23" s="22" t="str">
        <f t="shared" si="7"/>
        <v/>
      </c>
      <c r="L23" s="23" t="str">
        <f t="shared" ca="1" si="1"/>
        <v/>
      </c>
      <c r="M23" s="7"/>
      <c r="N23" s="10" t="str">
        <f t="shared" si="2"/>
        <v/>
      </c>
      <c r="O23" s="7"/>
      <c r="P23" s="12" t="str">
        <f t="shared" si="8"/>
        <v/>
      </c>
      <c r="Q23" s="13" t="str">
        <f t="shared" si="9"/>
        <v/>
      </c>
      <c r="R23" s="10" t="str">
        <f t="shared" si="3"/>
        <v/>
      </c>
      <c r="S23" s="7" t="s">
        <v>9</v>
      </c>
      <c r="T23" s="10" t="str">
        <f t="shared" si="4"/>
        <v/>
      </c>
      <c r="U23" s="7" t="s">
        <v>9</v>
      </c>
    </row>
    <row r="24" spans="1:21" s="2" customFormat="1" ht="12" customHeight="1" x14ac:dyDescent="0.4">
      <c r="A24" s="9" t="str">
        <f t="shared" ca="1" si="0"/>
        <v/>
      </c>
      <c r="B24" s="6"/>
      <c r="C24" s="6"/>
      <c r="D24" s="6"/>
      <c r="E24" s="11"/>
      <c r="F24" s="11"/>
      <c r="G24" s="7"/>
      <c r="H24" s="21"/>
      <c r="I24" s="24" t="str">
        <f t="shared" si="5"/>
        <v/>
      </c>
      <c r="J24" s="25" t="str">
        <f t="shared" ca="1" si="6"/>
        <v/>
      </c>
      <c r="K24" s="22" t="str">
        <f t="shared" si="7"/>
        <v/>
      </c>
      <c r="L24" s="23" t="str">
        <f t="shared" ca="1" si="1"/>
        <v/>
      </c>
      <c r="M24" s="7"/>
      <c r="N24" s="10" t="str">
        <f t="shared" si="2"/>
        <v/>
      </c>
      <c r="O24" s="7"/>
      <c r="P24" s="12" t="str">
        <f t="shared" si="8"/>
        <v/>
      </c>
      <c r="Q24" s="13" t="str">
        <f t="shared" si="9"/>
        <v/>
      </c>
      <c r="R24" s="10" t="str">
        <f t="shared" si="3"/>
        <v/>
      </c>
      <c r="S24" s="7" t="s">
        <v>9</v>
      </c>
      <c r="T24" s="10" t="str">
        <f t="shared" si="4"/>
        <v/>
      </c>
      <c r="U24" s="7" t="s">
        <v>9</v>
      </c>
    </row>
    <row r="25" spans="1:21" s="2" customFormat="1" ht="12" customHeight="1" x14ac:dyDescent="0.4">
      <c r="A25" s="9" t="str">
        <f t="shared" ca="1" si="0"/>
        <v/>
      </c>
      <c r="B25" s="6"/>
      <c r="C25" s="6"/>
      <c r="D25" s="6"/>
      <c r="E25" s="11"/>
      <c r="F25" s="11"/>
      <c r="G25" s="7"/>
      <c r="H25" s="21"/>
      <c r="I25" s="24" t="str">
        <f t="shared" si="5"/>
        <v/>
      </c>
      <c r="J25" s="25" t="str">
        <f t="shared" ca="1" si="6"/>
        <v/>
      </c>
      <c r="K25" s="22" t="str">
        <f t="shared" si="7"/>
        <v/>
      </c>
      <c r="L25" s="23" t="str">
        <f t="shared" ca="1" si="1"/>
        <v/>
      </c>
      <c r="M25" s="7"/>
      <c r="N25" s="10" t="str">
        <f t="shared" si="2"/>
        <v/>
      </c>
      <c r="O25" s="7"/>
      <c r="P25" s="12" t="str">
        <f t="shared" si="8"/>
        <v/>
      </c>
      <c r="Q25" s="13" t="str">
        <f t="shared" si="9"/>
        <v/>
      </c>
      <c r="R25" s="10" t="str">
        <f t="shared" si="3"/>
        <v/>
      </c>
      <c r="S25" s="7" t="s">
        <v>9</v>
      </c>
      <c r="T25" s="10" t="str">
        <f t="shared" si="4"/>
        <v/>
      </c>
      <c r="U25" s="7" t="s">
        <v>9</v>
      </c>
    </row>
    <row r="26" spans="1:21" s="2" customFormat="1" ht="12" customHeight="1" x14ac:dyDescent="0.4">
      <c r="A26" s="9" t="str">
        <f t="shared" ca="1" si="0"/>
        <v/>
      </c>
      <c r="B26" s="6"/>
      <c r="C26" s="6"/>
      <c r="D26" s="6"/>
      <c r="E26" s="11"/>
      <c r="F26" s="11"/>
      <c r="G26" s="7"/>
      <c r="H26" s="21"/>
      <c r="I26" s="24" t="str">
        <f t="shared" si="5"/>
        <v/>
      </c>
      <c r="J26" s="25" t="str">
        <f t="shared" ca="1" si="6"/>
        <v/>
      </c>
      <c r="K26" s="22" t="str">
        <f t="shared" si="7"/>
        <v/>
      </c>
      <c r="L26" s="23" t="str">
        <f t="shared" ca="1" si="1"/>
        <v/>
      </c>
      <c r="M26" s="7"/>
      <c r="N26" s="10" t="str">
        <f t="shared" si="2"/>
        <v/>
      </c>
      <c r="O26" s="7"/>
      <c r="P26" s="12" t="str">
        <f t="shared" si="8"/>
        <v/>
      </c>
      <c r="Q26" s="13" t="str">
        <f t="shared" si="9"/>
        <v/>
      </c>
      <c r="R26" s="10" t="str">
        <f t="shared" si="3"/>
        <v/>
      </c>
      <c r="S26" s="7" t="s">
        <v>9</v>
      </c>
      <c r="T26" s="10" t="str">
        <f t="shared" si="4"/>
        <v/>
      </c>
      <c r="U26" s="7" t="s">
        <v>9</v>
      </c>
    </row>
    <row r="27" spans="1:21" s="2" customFormat="1" ht="12" customHeight="1" x14ac:dyDescent="0.4">
      <c r="A27" s="9" t="str">
        <f t="shared" ca="1" si="0"/>
        <v/>
      </c>
      <c r="B27" s="6"/>
      <c r="C27" s="6"/>
      <c r="D27" s="6"/>
      <c r="E27" s="11"/>
      <c r="F27" s="11"/>
      <c r="G27" s="7"/>
      <c r="H27" s="21"/>
      <c r="I27" s="24" t="str">
        <f t="shared" si="5"/>
        <v/>
      </c>
      <c r="J27" s="25" t="str">
        <f t="shared" ca="1" si="6"/>
        <v/>
      </c>
      <c r="K27" s="22" t="str">
        <f t="shared" si="7"/>
        <v/>
      </c>
      <c r="L27" s="23" t="str">
        <f t="shared" ca="1" si="1"/>
        <v/>
      </c>
      <c r="M27" s="7"/>
      <c r="N27" s="10" t="str">
        <f t="shared" si="2"/>
        <v/>
      </c>
      <c r="O27" s="7"/>
      <c r="P27" s="12" t="str">
        <f t="shared" si="8"/>
        <v/>
      </c>
      <c r="Q27" s="13" t="str">
        <f t="shared" si="9"/>
        <v/>
      </c>
      <c r="R27" s="10" t="str">
        <f t="shared" si="3"/>
        <v/>
      </c>
      <c r="S27" s="7" t="s">
        <v>9</v>
      </c>
      <c r="T27" s="10" t="str">
        <f t="shared" si="4"/>
        <v/>
      </c>
      <c r="U27" s="7" t="s">
        <v>9</v>
      </c>
    </row>
    <row r="28" spans="1:21" s="2" customFormat="1" ht="12" customHeight="1" x14ac:dyDescent="0.4">
      <c r="A28" s="9" t="str">
        <f t="shared" ca="1" si="0"/>
        <v/>
      </c>
      <c r="B28" s="6"/>
      <c r="C28" s="6"/>
      <c r="D28" s="6"/>
      <c r="E28" s="11"/>
      <c r="F28" s="11"/>
      <c r="G28" s="7"/>
      <c r="H28" s="21"/>
      <c r="I28" s="24" t="str">
        <f t="shared" si="5"/>
        <v/>
      </c>
      <c r="J28" s="25" t="str">
        <f t="shared" ca="1" si="6"/>
        <v/>
      </c>
      <c r="K28" s="22" t="str">
        <f t="shared" si="7"/>
        <v/>
      </c>
      <c r="L28" s="23" t="str">
        <f t="shared" ca="1" si="1"/>
        <v/>
      </c>
      <c r="M28" s="7"/>
      <c r="N28" s="10" t="str">
        <f t="shared" si="2"/>
        <v/>
      </c>
      <c r="O28" s="7"/>
      <c r="P28" s="12" t="str">
        <f t="shared" si="8"/>
        <v/>
      </c>
      <c r="Q28" s="13" t="str">
        <f t="shared" si="9"/>
        <v/>
      </c>
      <c r="R28" s="10" t="str">
        <f t="shared" si="3"/>
        <v/>
      </c>
      <c r="S28" s="7" t="s">
        <v>9</v>
      </c>
      <c r="T28" s="10" t="str">
        <f t="shared" si="4"/>
        <v/>
      </c>
      <c r="U28" s="7" t="s">
        <v>9</v>
      </c>
    </row>
    <row r="29" spans="1:21" s="2" customFormat="1" ht="12" customHeight="1" x14ac:dyDescent="0.4">
      <c r="A29" s="9" t="str">
        <f t="shared" ca="1" si="0"/>
        <v/>
      </c>
      <c r="B29" s="6"/>
      <c r="C29" s="6"/>
      <c r="D29" s="6"/>
      <c r="E29" s="11"/>
      <c r="F29" s="11"/>
      <c r="G29" s="7"/>
      <c r="H29" s="21"/>
      <c r="I29" s="24" t="str">
        <f t="shared" si="5"/>
        <v/>
      </c>
      <c r="J29" s="25" t="str">
        <f t="shared" ca="1" si="6"/>
        <v/>
      </c>
      <c r="K29" s="22" t="str">
        <f t="shared" si="7"/>
        <v/>
      </c>
      <c r="L29" s="23" t="str">
        <f t="shared" ca="1" si="1"/>
        <v/>
      </c>
      <c r="M29" s="7"/>
      <c r="N29" s="10" t="str">
        <f t="shared" si="2"/>
        <v/>
      </c>
      <c r="O29" s="7"/>
      <c r="P29" s="12" t="str">
        <f t="shared" si="8"/>
        <v/>
      </c>
      <c r="Q29" s="13" t="str">
        <f t="shared" si="9"/>
        <v/>
      </c>
      <c r="R29" s="10" t="str">
        <f t="shared" si="3"/>
        <v/>
      </c>
      <c r="S29" s="7" t="s">
        <v>9</v>
      </c>
      <c r="T29" s="10" t="str">
        <f t="shared" si="4"/>
        <v/>
      </c>
      <c r="U29" s="7" t="s">
        <v>9</v>
      </c>
    </row>
    <row r="30" spans="1:21" s="2" customFormat="1" ht="12" customHeight="1" x14ac:dyDescent="0.4">
      <c r="A30" s="9" t="str">
        <f t="shared" ca="1" si="0"/>
        <v/>
      </c>
      <c r="B30" s="6"/>
      <c r="C30" s="6"/>
      <c r="D30" s="6"/>
      <c r="E30" s="11"/>
      <c r="F30" s="11"/>
      <c r="G30" s="7"/>
      <c r="H30" s="21"/>
      <c r="I30" s="24" t="str">
        <f t="shared" si="5"/>
        <v/>
      </c>
      <c r="J30" s="25" t="str">
        <f t="shared" ca="1" si="6"/>
        <v/>
      </c>
      <c r="K30" s="22" t="str">
        <f t="shared" si="7"/>
        <v/>
      </c>
      <c r="L30" s="23" t="str">
        <f t="shared" ca="1" si="1"/>
        <v/>
      </c>
      <c r="M30" s="7"/>
      <c r="N30" s="10" t="str">
        <f t="shared" si="2"/>
        <v/>
      </c>
      <c r="O30" s="7"/>
      <c r="P30" s="12" t="str">
        <f t="shared" si="8"/>
        <v/>
      </c>
      <c r="Q30" s="13" t="str">
        <f t="shared" si="9"/>
        <v/>
      </c>
      <c r="R30" s="10" t="str">
        <f t="shared" si="3"/>
        <v/>
      </c>
      <c r="S30" s="7" t="s">
        <v>9</v>
      </c>
      <c r="T30" s="10" t="str">
        <f t="shared" si="4"/>
        <v/>
      </c>
      <c r="U30" s="7" t="s">
        <v>9</v>
      </c>
    </row>
    <row r="31" spans="1:21" s="2" customFormat="1" ht="12" customHeight="1" x14ac:dyDescent="0.4">
      <c r="A31" s="9" t="str">
        <f t="shared" ca="1" si="0"/>
        <v/>
      </c>
      <c r="B31" s="6"/>
      <c r="C31" s="6"/>
      <c r="D31" s="6"/>
      <c r="E31" s="11"/>
      <c r="F31" s="11"/>
      <c r="G31" s="7"/>
      <c r="H31" s="21"/>
      <c r="I31" s="24" t="str">
        <f t="shared" si="5"/>
        <v/>
      </c>
      <c r="J31" s="25" t="str">
        <f t="shared" ca="1" si="6"/>
        <v/>
      </c>
      <c r="K31" s="22" t="str">
        <f t="shared" si="7"/>
        <v/>
      </c>
      <c r="L31" s="23" t="str">
        <f t="shared" ca="1" si="1"/>
        <v/>
      </c>
      <c r="M31" s="7"/>
      <c r="N31" s="10" t="str">
        <f t="shared" si="2"/>
        <v/>
      </c>
      <c r="O31" s="7"/>
      <c r="P31" s="12" t="str">
        <f t="shared" si="8"/>
        <v/>
      </c>
      <c r="Q31" s="13" t="str">
        <f t="shared" si="9"/>
        <v/>
      </c>
      <c r="R31" s="10" t="str">
        <f t="shared" si="3"/>
        <v/>
      </c>
      <c r="S31" s="7" t="s">
        <v>9</v>
      </c>
      <c r="T31" s="10" t="str">
        <f t="shared" si="4"/>
        <v/>
      </c>
      <c r="U31" s="7" t="s">
        <v>9</v>
      </c>
    </row>
    <row r="32" spans="1:21" s="2" customFormat="1" ht="12" customHeight="1" x14ac:dyDescent="0.4">
      <c r="A32" s="9" t="str">
        <f t="shared" ca="1" si="0"/>
        <v/>
      </c>
      <c r="B32" s="6"/>
      <c r="C32" s="6"/>
      <c r="D32" s="6"/>
      <c r="E32" s="11"/>
      <c r="F32" s="11"/>
      <c r="G32" s="7"/>
      <c r="H32" s="21"/>
      <c r="I32" s="24" t="str">
        <f t="shared" si="5"/>
        <v/>
      </c>
      <c r="J32" s="25" t="str">
        <f t="shared" ca="1" si="6"/>
        <v/>
      </c>
      <c r="K32" s="22" t="str">
        <f t="shared" si="7"/>
        <v/>
      </c>
      <c r="L32" s="23" t="str">
        <f t="shared" ca="1" si="1"/>
        <v/>
      </c>
      <c r="M32" s="7"/>
      <c r="N32" s="10" t="str">
        <f t="shared" si="2"/>
        <v/>
      </c>
      <c r="O32" s="7"/>
      <c r="P32" s="12" t="str">
        <f t="shared" si="8"/>
        <v/>
      </c>
      <c r="Q32" s="13" t="str">
        <f t="shared" si="9"/>
        <v/>
      </c>
      <c r="R32" s="10" t="str">
        <f t="shared" si="3"/>
        <v/>
      </c>
      <c r="S32" s="7" t="s">
        <v>9</v>
      </c>
      <c r="T32" s="10" t="str">
        <f t="shared" si="4"/>
        <v/>
      </c>
      <c r="U32" s="7" t="s">
        <v>9</v>
      </c>
    </row>
    <row r="33" spans="1:21" s="2" customFormat="1" ht="12" customHeight="1" x14ac:dyDescent="0.4">
      <c r="A33" s="9" t="str">
        <f t="shared" ca="1" si="0"/>
        <v/>
      </c>
      <c r="B33" s="6"/>
      <c r="C33" s="6"/>
      <c r="D33" s="6"/>
      <c r="E33" s="11"/>
      <c r="F33" s="11"/>
      <c r="G33" s="7"/>
      <c r="H33" s="21"/>
      <c r="I33" s="24" t="str">
        <f t="shared" si="5"/>
        <v/>
      </c>
      <c r="J33" s="25" t="str">
        <f t="shared" ca="1" si="6"/>
        <v/>
      </c>
      <c r="K33" s="22" t="str">
        <f t="shared" si="7"/>
        <v/>
      </c>
      <c r="L33" s="23" t="str">
        <f t="shared" ca="1" si="1"/>
        <v/>
      </c>
      <c r="M33" s="7"/>
      <c r="N33" s="10" t="str">
        <f t="shared" si="2"/>
        <v/>
      </c>
      <c r="O33" s="7"/>
      <c r="P33" s="12" t="str">
        <f t="shared" si="8"/>
        <v/>
      </c>
      <c r="Q33" s="13" t="str">
        <f t="shared" si="9"/>
        <v/>
      </c>
      <c r="R33" s="10" t="str">
        <f t="shared" si="3"/>
        <v/>
      </c>
      <c r="S33" s="7" t="s">
        <v>9</v>
      </c>
      <c r="T33" s="10" t="str">
        <f t="shared" si="4"/>
        <v/>
      </c>
      <c r="U33" s="7" t="s">
        <v>9</v>
      </c>
    </row>
    <row r="34" spans="1:21" s="2" customFormat="1" ht="12" customHeight="1" x14ac:dyDescent="0.4">
      <c r="A34" s="9" t="str">
        <f t="shared" ca="1" si="0"/>
        <v/>
      </c>
      <c r="B34" s="6"/>
      <c r="C34" s="6"/>
      <c r="D34" s="6"/>
      <c r="E34" s="11"/>
      <c r="F34" s="11"/>
      <c r="G34" s="7"/>
      <c r="H34" s="21"/>
      <c r="I34" s="24" t="str">
        <f t="shared" si="5"/>
        <v/>
      </c>
      <c r="J34" s="25" t="str">
        <f t="shared" ca="1" si="6"/>
        <v/>
      </c>
      <c r="K34" s="22" t="str">
        <f t="shared" si="7"/>
        <v/>
      </c>
      <c r="L34" s="23" t="str">
        <f t="shared" ca="1" si="1"/>
        <v/>
      </c>
      <c r="M34" s="7"/>
      <c r="N34" s="10" t="str">
        <f t="shared" si="2"/>
        <v/>
      </c>
      <c r="O34" s="7"/>
      <c r="P34" s="12" t="str">
        <f t="shared" si="8"/>
        <v/>
      </c>
      <c r="Q34" s="13" t="str">
        <f t="shared" si="9"/>
        <v/>
      </c>
      <c r="R34" s="10" t="str">
        <f t="shared" si="3"/>
        <v/>
      </c>
      <c r="S34" s="7" t="s">
        <v>9</v>
      </c>
      <c r="T34" s="10" t="str">
        <f t="shared" si="4"/>
        <v/>
      </c>
      <c r="U34" s="7" t="s">
        <v>9</v>
      </c>
    </row>
    <row r="35" spans="1:21" s="2" customFormat="1" ht="12" customHeight="1" x14ac:dyDescent="0.4">
      <c r="A35" s="9" t="str">
        <f t="shared" ref="A35:A66" ca="1" si="10">IF(
    OR(
        $B35="",
        OFFSET($B35,-1,0)=""
    ),
    "",
    IF(
        OFFSET($B35,-1,0)=$B$2,
        1,
        OFFSET($A35,-1,0)+1
    )
)</f>
        <v/>
      </c>
      <c r="B35" s="6"/>
      <c r="C35" s="6"/>
      <c r="D35" s="6"/>
      <c r="E35" s="11"/>
      <c r="F35" s="11"/>
      <c r="G35" s="7"/>
      <c r="H35" s="21"/>
      <c r="I35" s="24" t="str">
        <f t="shared" si="5"/>
        <v/>
      </c>
      <c r="J35" s="25" t="str">
        <f t="shared" ca="1" si="6"/>
        <v/>
      </c>
      <c r="K35" s="22" t="str">
        <f t="shared" si="7"/>
        <v/>
      </c>
      <c r="L35" s="23" t="str">
        <f t="shared" ca="1" si="1"/>
        <v/>
      </c>
      <c r="M35" s="7"/>
      <c r="N35" s="10" t="str">
        <f t="shared" ref="N35:N66" si="11">IF(
    B35="",
    "",
    K35&amp;CHAR(9)&amp;L35&amp;CHAR(9)&amp;"L"&amp;TEXT($A35,"000")
)</f>
        <v/>
      </c>
      <c r="O35" s="7"/>
      <c r="P35" s="12" t="str">
        <f t="shared" si="8"/>
        <v/>
      </c>
      <c r="Q35" s="13" t="str">
        <f t="shared" si="9"/>
        <v/>
      </c>
      <c r="R35" s="10" t="str">
        <f t="shared" ref="R35:R66" si="12">IF(
    B35="",
    "",
    SUBSTITUTE($C35,"-","－")&amp;" - "&amp;
    SUBSTITUTE($B35,"-","－")&amp;" - "&amp;
    $I35
)</f>
        <v/>
      </c>
      <c r="S35" s="7" t="s">
        <v>9</v>
      </c>
      <c r="T35" s="10" t="str">
        <f t="shared" ref="T35:T66" si="13">IF(
    B35="",
    "",
    TEXT($A35,"00 ")&amp;B35&amp;CHAR(9)&amp;
    B35&amp;CHAR(9)&amp;
    C35&amp;CHAR(9)&amp;
    "Tatsuya Endo"&amp;CHAR(9)&amp;
    D35&amp;CHAR(9)&amp;
    A35&amp;CHAR(9)&amp;
    E35&amp;CHAR(9)&amp;
    F35&amp;CHAR(9)&amp;
    REPT(CHAR(9),9)
)</f>
        <v/>
      </c>
      <c r="U35" s="7" t="s">
        <v>9</v>
      </c>
    </row>
    <row r="36" spans="1:21" s="2" customFormat="1" ht="12" customHeight="1" x14ac:dyDescent="0.4">
      <c r="A36" s="9" t="str">
        <f t="shared" ca="1" si="10"/>
        <v/>
      </c>
      <c r="B36" s="6"/>
      <c r="C36" s="6"/>
      <c r="D36" s="6"/>
      <c r="E36" s="11"/>
      <c r="F36" s="11"/>
      <c r="G36" s="7"/>
      <c r="H36" s="21"/>
      <c r="I36" s="24" t="str">
        <f t="shared" si="5"/>
        <v/>
      </c>
      <c r="J36" s="25" t="str">
        <f t="shared" ca="1" si="6"/>
        <v/>
      </c>
      <c r="K36" s="22" t="str">
        <f t="shared" si="7"/>
        <v/>
      </c>
      <c r="L36" s="23" t="str">
        <f t="shared" ca="1" si="1"/>
        <v/>
      </c>
      <c r="M36" s="7"/>
      <c r="N36" s="10" t="str">
        <f t="shared" si="11"/>
        <v/>
      </c>
      <c r="O36" s="7"/>
      <c r="P36" s="12" t="str">
        <f t="shared" si="8"/>
        <v/>
      </c>
      <c r="Q36" s="13" t="str">
        <f t="shared" si="9"/>
        <v/>
      </c>
      <c r="R36" s="10" t="str">
        <f t="shared" si="12"/>
        <v/>
      </c>
      <c r="S36" s="7" t="s">
        <v>9</v>
      </c>
      <c r="T36" s="10" t="str">
        <f t="shared" si="13"/>
        <v/>
      </c>
      <c r="U36" s="7" t="s">
        <v>9</v>
      </c>
    </row>
    <row r="37" spans="1:21" s="2" customFormat="1" ht="12" customHeight="1" x14ac:dyDescent="0.4">
      <c r="A37" s="9" t="str">
        <f t="shared" ca="1" si="10"/>
        <v/>
      </c>
      <c r="B37" s="6"/>
      <c r="C37" s="6"/>
      <c r="D37" s="6"/>
      <c r="E37" s="11"/>
      <c r="F37" s="11"/>
      <c r="G37" s="7"/>
      <c r="H37" s="21"/>
      <c r="I37" s="24" t="str">
        <f t="shared" si="5"/>
        <v/>
      </c>
      <c r="J37" s="25" t="str">
        <f t="shared" ca="1" si="6"/>
        <v/>
      </c>
      <c r="K37" s="22" t="str">
        <f t="shared" si="7"/>
        <v/>
      </c>
      <c r="L37" s="23" t="str">
        <f t="shared" ca="1" si="1"/>
        <v/>
      </c>
      <c r="M37" s="7"/>
      <c r="N37" s="10" t="str">
        <f t="shared" si="11"/>
        <v/>
      </c>
      <c r="O37" s="7"/>
      <c r="P37" s="12" t="str">
        <f t="shared" si="8"/>
        <v/>
      </c>
      <c r="Q37" s="13" t="str">
        <f t="shared" si="9"/>
        <v/>
      </c>
      <c r="R37" s="10" t="str">
        <f t="shared" si="12"/>
        <v/>
      </c>
      <c r="S37" s="7" t="s">
        <v>9</v>
      </c>
      <c r="T37" s="10" t="str">
        <f t="shared" si="13"/>
        <v/>
      </c>
      <c r="U37" s="7" t="s">
        <v>9</v>
      </c>
    </row>
    <row r="38" spans="1:21" s="2" customFormat="1" ht="12" customHeight="1" x14ac:dyDescent="0.4">
      <c r="A38" s="9" t="str">
        <f t="shared" ca="1" si="10"/>
        <v/>
      </c>
      <c r="B38" s="6"/>
      <c r="C38" s="6"/>
      <c r="D38" s="6"/>
      <c r="E38" s="11"/>
      <c r="F38" s="11"/>
      <c r="G38" s="7"/>
      <c r="H38" s="21"/>
      <c r="I38" s="24" t="str">
        <f t="shared" si="5"/>
        <v/>
      </c>
      <c r="J38" s="25" t="str">
        <f t="shared" ca="1" si="6"/>
        <v/>
      </c>
      <c r="K38" s="22" t="str">
        <f t="shared" si="7"/>
        <v/>
      </c>
      <c r="L38" s="23" t="str">
        <f t="shared" ca="1" si="1"/>
        <v/>
      </c>
      <c r="M38" s="7"/>
      <c r="N38" s="10" t="str">
        <f t="shared" si="11"/>
        <v/>
      </c>
      <c r="O38" s="7"/>
      <c r="P38" s="12" t="str">
        <f t="shared" si="8"/>
        <v/>
      </c>
      <c r="Q38" s="13" t="str">
        <f t="shared" si="9"/>
        <v/>
      </c>
      <c r="R38" s="10" t="str">
        <f t="shared" si="12"/>
        <v/>
      </c>
      <c r="S38" s="7" t="s">
        <v>9</v>
      </c>
      <c r="T38" s="10" t="str">
        <f t="shared" si="13"/>
        <v/>
      </c>
      <c r="U38" s="7" t="s">
        <v>9</v>
      </c>
    </row>
    <row r="39" spans="1:21" s="2" customFormat="1" ht="12" customHeight="1" x14ac:dyDescent="0.4">
      <c r="A39" s="9" t="str">
        <f t="shared" ca="1" si="10"/>
        <v/>
      </c>
      <c r="B39" s="6"/>
      <c r="C39" s="6"/>
      <c r="D39" s="6"/>
      <c r="E39" s="11"/>
      <c r="F39" s="11"/>
      <c r="G39" s="7"/>
      <c r="H39" s="21"/>
      <c r="I39" s="24" t="str">
        <f t="shared" si="5"/>
        <v/>
      </c>
      <c r="J39" s="25" t="str">
        <f t="shared" ca="1" si="6"/>
        <v/>
      </c>
      <c r="K39" s="22" t="str">
        <f t="shared" si="7"/>
        <v/>
      </c>
      <c r="L39" s="23" t="str">
        <f t="shared" ca="1" si="1"/>
        <v/>
      </c>
      <c r="M39" s="7"/>
      <c r="N39" s="10" t="str">
        <f t="shared" si="11"/>
        <v/>
      </c>
      <c r="O39" s="7"/>
      <c r="P39" s="12" t="str">
        <f t="shared" si="8"/>
        <v/>
      </c>
      <c r="Q39" s="13" t="str">
        <f t="shared" si="9"/>
        <v/>
      </c>
      <c r="R39" s="10" t="str">
        <f t="shared" si="12"/>
        <v/>
      </c>
      <c r="S39" s="7" t="s">
        <v>9</v>
      </c>
      <c r="T39" s="10" t="str">
        <f t="shared" si="13"/>
        <v/>
      </c>
      <c r="U39" s="7" t="s">
        <v>9</v>
      </c>
    </row>
    <row r="40" spans="1:21" s="2" customFormat="1" ht="12" customHeight="1" x14ac:dyDescent="0.4">
      <c r="A40" s="9" t="str">
        <f t="shared" ca="1" si="10"/>
        <v/>
      </c>
      <c r="B40" s="6"/>
      <c r="C40" s="6"/>
      <c r="D40" s="6"/>
      <c r="E40" s="11"/>
      <c r="F40" s="11"/>
      <c r="G40" s="7"/>
      <c r="H40" s="21"/>
      <c r="I40" s="24" t="str">
        <f t="shared" si="5"/>
        <v/>
      </c>
      <c r="J40" s="25" t="str">
        <f t="shared" ca="1" si="6"/>
        <v/>
      </c>
      <c r="K40" s="22" t="str">
        <f t="shared" si="7"/>
        <v/>
      </c>
      <c r="L40" s="23" t="str">
        <f t="shared" ca="1" si="1"/>
        <v/>
      </c>
      <c r="M40" s="7"/>
      <c r="N40" s="10" t="str">
        <f t="shared" si="11"/>
        <v/>
      </c>
      <c r="O40" s="7"/>
      <c r="P40" s="12" t="str">
        <f t="shared" si="8"/>
        <v/>
      </c>
      <c r="Q40" s="13" t="str">
        <f t="shared" si="9"/>
        <v/>
      </c>
      <c r="R40" s="10" t="str">
        <f t="shared" si="12"/>
        <v/>
      </c>
      <c r="S40" s="7" t="s">
        <v>9</v>
      </c>
      <c r="T40" s="10" t="str">
        <f t="shared" si="13"/>
        <v/>
      </c>
      <c r="U40" s="7" t="s">
        <v>9</v>
      </c>
    </row>
    <row r="41" spans="1:21" s="2" customFormat="1" ht="12" customHeight="1" x14ac:dyDescent="0.4">
      <c r="A41" s="9" t="str">
        <f t="shared" ca="1" si="10"/>
        <v/>
      </c>
      <c r="B41" s="6"/>
      <c r="C41" s="6"/>
      <c r="D41" s="6"/>
      <c r="E41" s="11"/>
      <c r="F41" s="11"/>
      <c r="G41" s="7"/>
      <c r="H41" s="21"/>
      <c r="I41" s="24" t="str">
        <f t="shared" si="5"/>
        <v/>
      </c>
      <c r="J41" s="25" t="str">
        <f t="shared" ca="1" si="6"/>
        <v/>
      </c>
      <c r="K41" s="22" t="str">
        <f t="shared" si="7"/>
        <v/>
      </c>
      <c r="L41" s="23" t="str">
        <f t="shared" ca="1" si="1"/>
        <v/>
      </c>
      <c r="M41" s="7"/>
      <c r="N41" s="10" t="str">
        <f t="shared" si="11"/>
        <v/>
      </c>
      <c r="O41" s="7"/>
      <c r="P41" s="12" t="str">
        <f t="shared" si="8"/>
        <v/>
      </c>
      <c r="Q41" s="13" t="str">
        <f t="shared" si="9"/>
        <v/>
      </c>
      <c r="R41" s="10" t="str">
        <f t="shared" si="12"/>
        <v/>
      </c>
      <c r="S41" s="7" t="s">
        <v>9</v>
      </c>
      <c r="T41" s="10" t="str">
        <f t="shared" si="13"/>
        <v/>
      </c>
      <c r="U41" s="7" t="s">
        <v>9</v>
      </c>
    </row>
    <row r="42" spans="1:21" s="2" customFormat="1" ht="12" customHeight="1" x14ac:dyDescent="0.4">
      <c r="A42" s="9" t="str">
        <f t="shared" ca="1" si="10"/>
        <v/>
      </c>
      <c r="B42" s="6"/>
      <c r="C42" s="6"/>
      <c r="D42" s="6"/>
      <c r="E42" s="11"/>
      <c r="F42" s="11"/>
      <c r="G42" s="7"/>
      <c r="H42" s="21"/>
      <c r="I42" s="24" t="str">
        <f t="shared" si="5"/>
        <v/>
      </c>
      <c r="J42" s="25" t="str">
        <f t="shared" ca="1" si="6"/>
        <v/>
      </c>
      <c r="K42" s="22" t="str">
        <f t="shared" si="7"/>
        <v/>
      </c>
      <c r="L42" s="23" t="str">
        <f t="shared" ca="1" si="1"/>
        <v/>
      </c>
      <c r="M42" s="7"/>
      <c r="N42" s="10" t="str">
        <f t="shared" si="11"/>
        <v/>
      </c>
      <c r="O42" s="7"/>
      <c r="P42" s="12" t="str">
        <f t="shared" si="8"/>
        <v/>
      </c>
      <c r="Q42" s="13" t="str">
        <f t="shared" si="9"/>
        <v/>
      </c>
      <c r="R42" s="10" t="str">
        <f t="shared" si="12"/>
        <v/>
      </c>
      <c r="S42" s="7" t="s">
        <v>9</v>
      </c>
      <c r="T42" s="10" t="str">
        <f t="shared" si="13"/>
        <v/>
      </c>
      <c r="U42" s="7" t="s">
        <v>9</v>
      </c>
    </row>
    <row r="43" spans="1:21" s="2" customFormat="1" ht="12" customHeight="1" x14ac:dyDescent="0.4">
      <c r="A43" s="9" t="str">
        <f t="shared" ca="1" si="10"/>
        <v/>
      </c>
      <c r="B43" s="6"/>
      <c r="C43" s="6"/>
      <c r="D43" s="6"/>
      <c r="E43" s="11"/>
      <c r="F43" s="11"/>
      <c r="G43" s="7"/>
      <c r="H43" s="21"/>
      <c r="I43" s="24" t="str">
        <f t="shared" si="5"/>
        <v/>
      </c>
      <c r="J43" s="25" t="str">
        <f t="shared" ca="1" si="6"/>
        <v/>
      </c>
      <c r="K43" s="22" t="str">
        <f t="shared" si="7"/>
        <v/>
      </c>
      <c r="L43" s="23" t="str">
        <f t="shared" ca="1" si="1"/>
        <v/>
      </c>
      <c r="M43" s="7"/>
      <c r="N43" s="10" t="str">
        <f t="shared" si="11"/>
        <v/>
      </c>
      <c r="O43" s="7"/>
      <c r="P43" s="12" t="str">
        <f t="shared" si="8"/>
        <v/>
      </c>
      <c r="Q43" s="13" t="str">
        <f t="shared" si="9"/>
        <v/>
      </c>
      <c r="R43" s="10" t="str">
        <f t="shared" si="12"/>
        <v/>
      </c>
      <c r="S43" s="7" t="s">
        <v>9</v>
      </c>
      <c r="T43" s="10" t="str">
        <f t="shared" si="13"/>
        <v/>
      </c>
      <c r="U43" s="7" t="s">
        <v>9</v>
      </c>
    </row>
    <row r="44" spans="1:21" s="2" customFormat="1" ht="12" customHeight="1" x14ac:dyDescent="0.4">
      <c r="A44" s="9" t="str">
        <f t="shared" ca="1" si="10"/>
        <v/>
      </c>
      <c r="B44" s="6"/>
      <c r="C44" s="6"/>
      <c r="D44" s="6"/>
      <c r="E44" s="11"/>
      <c r="F44" s="11"/>
      <c r="G44" s="7"/>
      <c r="H44" s="21"/>
      <c r="I44" s="24" t="str">
        <f t="shared" si="5"/>
        <v/>
      </c>
      <c r="J44" s="25" t="str">
        <f t="shared" ca="1" si="6"/>
        <v/>
      </c>
      <c r="K44" s="22" t="str">
        <f t="shared" si="7"/>
        <v/>
      </c>
      <c r="L44" s="23" t="str">
        <f t="shared" ca="1" si="1"/>
        <v/>
      </c>
      <c r="M44" s="7"/>
      <c r="N44" s="10" t="str">
        <f t="shared" si="11"/>
        <v/>
      </c>
      <c r="O44" s="7"/>
      <c r="P44" s="12" t="str">
        <f t="shared" si="8"/>
        <v/>
      </c>
      <c r="Q44" s="13" t="str">
        <f t="shared" si="9"/>
        <v/>
      </c>
      <c r="R44" s="10" t="str">
        <f t="shared" si="12"/>
        <v/>
      </c>
      <c r="S44" s="7" t="s">
        <v>9</v>
      </c>
      <c r="T44" s="10" t="str">
        <f t="shared" si="13"/>
        <v/>
      </c>
      <c r="U44" s="7" t="s">
        <v>9</v>
      </c>
    </row>
    <row r="45" spans="1:21" s="2" customFormat="1" ht="12" customHeight="1" x14ac:dyDescent="0.4">
      <c r="A45" s="9" t="str">
        <f t="shared" ca="1" si="10"/>
        <v/>
      </c>
      <c r="B45" s="6"/>
      <c r="C45" s="6"/>
      <c r="D45" s="6"/>
      <c r="E45" s="11"/>
      <c r="F45" s="11"/>
      <c r="G45" s="7"/>
      <c r="H45" s="21"/>
      <c r="I45" s="24" t="str">
        <f t="shared" si="5"/>
        <v/>
      </c>
      <c r="J45" s="25" t="str">
        <f t="shared" ca="1" si="6"/>
        <v/>
      </c>
      <c r="K45" s="22" t="str">
        <f t="shared" si="7"/>
        <v/>
      </c>
      <c r="L45" s="23" t="str">
        <f t="shared" ca="1" si="1"/>
        <v/>
      </c>
      <c r="M45" s="7"/>
      <c r="N45" s="10" t="str">
        <f t="shared" si="11"/>
        <v/>
      </c>
      <c r="O45" s="7"/>
      <c r="P45" s="12" t="str">
        <f t="shared" si="8"/>
        <v/>
      </c>
      <c r="Q45" s="13" t="str">
        <f t="shared" si="9"/>
        <v/>
      </c>
      <c r="R45" s="10" t="str">
        <f t="shared" si="12"/>
        <v/>
      </c>
      <c r="S45" s="7" t="s">
        <v>9</v>
      </c>
      <c r="T45" s="10" t="str">
        <f t="shared" si="13"/>
        <v/>
      </c>
      <c r="U45" s="7" t="s">
        <v>9</v>
      </c>
    </row>
    <row r="46" spans="1:21" s="2" customFormat="1" ht="12" customHeight="1" x14ac:dyDescent="0.4">
      <c r="A46" s="9" t="str">
        <f t="shared" ca="1" si="10"/>
        <v/>
      </c>
      <c r="B46" s="6"/>
      <c r="C46" s="6"/>
      <c r="D46" s="6"/>
      <c r="E46" s="11"/>
      <c r="F46" s="11"/>
      <c r="G46" s="7"/>
      <c r="H46" s="21"/>
      <c r="I46" s="24" t="str">
        <f t="shared" si="5"/>
        <v/>
      </c>
      <c r="J46" s="25" t="str">
        <f t="shared" ca="1" si="6"/>
        <v/>
      </c>
      <c r="K46" s="22" t="str">
        <f t="shared" si="7"/>
        <v/>
      </c>
      <c r="L46" s="23" t="str">
        <f t="shared" ca="1" si="1"/>
        <v/>
      </c>
      <c r="M46" s="7"/>
      <c r="N46" s="10" t="str">
        <f t="shared" si="11"/>
        <v/>
      </c>
      <c r="O46" s="7"/>
      <c r="P46" s="12" t="str">
        <f t="shared" si="8"/>
        <v/>
      </c>
      <c r="Q46" s="13" t="str">
        <f t="shared" si="9"/>
        <v/>
      </c>
      <c r="R46" s="10" t="str">
        <f t="shared" si="12"/>
        <v/>
      </c>
      <c r="S46" s="7" t="s">
        <v>9</v>
      </c>
      <c r="T46" s="10" t="str">
        <f t="shared" si="13"/>
        <v/>
      </c>
      <c r="U46" s="7" t="s">
        <v>9</v>
      </c>
    </row>
    <row r="47" spans="1:21" s="2" customFormat="1" ht="12" customHeight="1" x14ac:dyDescent="0.4">
      <c r="A47" s="9" t="str">
        <f t="shared" ca="1" si="10"/>
        <v/>
      </c>
      <c r="B47" s="6"/>
      <c r="C47" s="6"/>
      <c r="D47" s="6"/>
      <c r="E47" s="11"/>
      <c r="F47" s="11"/>
      <c r="G47" s="7"/>
      <c r="H47" s="21"/>
      <c r="I47" s="24" t="str">
        <f t="shared" si="5"/>
        <v/>
      </c>
      <c r="J47" s="25" t="str">
        <f t="shared" ca="1" si="6"/>
        <v/>
      </c>
      <c r="K47" s="22" t="str">
        <f t="shared" si="7"/>
        <v/>
      </c>
      <c r="L47" s="23" t="str">
        <f t="shared" ca="1" si="1"/>
        <v/>
      </c>
      <c r="M47" s="7"/>
      <c r="N47" s="10" t="str">
        <f t="shared" si="11"/>
        <v/>
      </c>
      <c r="O47" s="7"/>
      <c r="P47" s="12" t="str">
        <f t="shared" si="8"/>
        <v/>
      </c>
      <c r="Q47" s="13" t="str">
        <f t="shared" si="9"/>
        <v/>
      </c>
      <c r="R47" s="10" t="str">
        <f t="shared" si="12"/>
        <v/>
      </c>
      <c r="S47" s="7" t="s">
        <v>9</v>
      </c>
      <c r="T47" s="10" t="str">
        <f t="shared" si="13"/>
        <v/>
      </c>
      <c r="U47" s="7" t="s">
        <v>9</v>
      </c>
    </row>
    <row r="48" spans="1:21" s="2" customFormat="1" ht="12" customHeight="1" x14ac:dyDescent="0.4">
      <c r="A48" s="9" t="str">
        <f t="shared" ca="1" si="10"/>
        <v/>
      </c>
      <c r="B48" s="6"/>
      <c r="C48" s="6"/>
      <c r="D48" s="6"/>
      <c r="E48" s="11"/>
      <c r="F48" s="11"/>
      <c r="G48" s="7"/>
      <c r="H48" s="21"/>
      <c r="I48" s="24" t="str">
        <f t="shared" si="5"/>
        <v/>
      </c>
      <c r="J48" s="25" t="str">
        <f t="shared" ca="1" si="6"/>
        <v/>
      </c>
      <c r="K48" s="22" t="str">
        <f t="shared" si="7"/>
        <v/>
      </c>
      <c r="L48" s="23" t="str">
        <f t="shared" ca="1" si="1"/>
        <v/>
      </c>
      <c r="M48" s="7"/>
      <c r="N48" s="10" t="str">
        <f t="shared" si="11"/>
        <v/>
      </c>
      <c r="O48" s="7"/>
      <c r="P48" s="12" t="str">
        <f t="shared" si="8"/>
        <v/>
      </c>
      <c r="Q48" s="13" t="str">
        <f t="shared" si="9"/>
        <v/>
      </c>
      <c r="R48" s="10" t="str">
        <f t="shared" si="12"/>
        <v/>
      </c>
      <c r="S48" s="7" t="s">
        <v>9</v>
      </c>
      <c r="T48" s="10" t="str">
        <f t="shared" si="13"/>
        <v/>
      </c>
      <c r="U48" s="7" t="s">
        <v>9</v>
      </c>
    </row>
    <row r="49" spans="1:21" s="2" customFormat="1" ht="12" customHeight="1" x14ac:dyDescent="0.4">
      <c r="A49" s="9" t="str">
        <f t="shared" ca="1" si="10"/>
        <v/>
      </c>
      <c r="B49" s="6"/>
      <c r="C49" s="6"/>
      <c r="D49" s="6"/>
      <c r="E49" s="11"/>
      <c r="F49" s="11"/>
      <c r="G49" s="7"/>
      <c r="H49" s="21"/>
      <c r="I49" s="24" t="str">
        <f t="shared" si="5"/>
        <v/>
      </c>
      <c r="J49" s="25" t="str">
        <f t="shared" ca="1" si="6"/>
        <v/>
      </c>
      <c r="K49" s="22" t="str">
        <f t="shared" si="7"/>
        <v/>
      </c>
      <c r="L49" s="23" t="str">
        <f t="shared" ca="1" si="1"/>
        <v/>
      </c>
      <c r="M49" s="7"/>
      <c r="N49" s="10" t="str">
        <f t="shared" si="11"/>
        <v/>
      </c>
      <c r="O49" s="7"/>
      <c r="P49" s="12" t="str">
        <f t="shared" si="8"/>
        <v/>
      </c>
      <c r="Q49" s="13" t="str">
        <f t="shared" si="9"/>
        <v/>
      </c>
      <c r="R49" s="10" t="str">
        <f t="shared" si="12"/>
        <v/>
      </c>
      <c r="S49" s="7" t="s">
        <v>9</v>
      </c>
      <c r="T49" s="10" t="str">
        <f t="shared" si="13"/>
        <v/>
      </c>
      <c r="U49" s="7" t="s">
        <v>9</v>
      </c>
    </row>
    <row r="50" spans="1:21" s="2" customFormat="1" ht="12" customHeight="1" x14ac:dyDescent="0.4">
      <c r="A50" s="9" t="str">
        <f t="shared" ca="1" si="10"/>
        <v/>
      </c>
      <c r="B50" s="6"/>
      <c r="C50" s="6"/>
      <c r="D50" s="6"/>
      <c r="E50" s="11"/>
      <c r="F50" s="11"/>
      <c r="G50" s="7"/>
      <c r="H50" s="21"/>
      <c r="I50" s="24" t="str">
        <f t="shared" si="5"/>
        <v/>
      </c>
      <c r="J50" s="25" t="str">
        <f t="shared" ca="1" si="6"/>
        <v/>
      </c>
      <c r="K50" s="22" t="str">
        <f t="shared" si="7"/>
        <v/>
      </c>
      <c r="L50" s="23" t="str">
        <f t="shared" ca="1" si="1"/>
        <v/>
      </c>
      <c r="M50" s="7"/>
      <c r="N50" s="10" t="str">
        <f t="shared" si="11"/>
        <v/>
      </c>
      <c r="O50" s="7"/>
      <c r="P50" s="12" t="str">
        <f t="shared" si="8"/>
        <v/>
      </c>
      <c r="Q50" s="13" t="str">
        <f t="shared" si="9"/>
        <v/>
      </c>
      <c r="R50" s="10" t="str">
        <f t="shared" si="12"/>
        <v/>
      </c>
      <c r="S50" s="7" t="s">
        <v>9</v>
      </c>
      <c r="T50" s="10" t="str">
        <f t="shared" si="13"/>
        <v/>
      </c>
      <c r="U50" s="7" t="s">
        <v>9</v>
      </c>
    </row>
    <row r="51" spans="1:21" s="2" customFormat="1" ht="12" customHeight="1" x14ac:dyDescent="0.4">
      <c r="A51" s="9" t="str">
        <f t="shared" ca="1" si="10"/>
        <v/>
      </c>
      <c r="B51" s="6"/>
      <c r="C51" s="6"/>
      <c r="D51" s="6"/>
      <c r="E51" s="11"/>
      <c r="F51" s="11"/>
      <c r="G51" s="7"/>
      <c r="H51" s="21"/>
      <c r="I51" s="24" t="str">
        <f t="shared" si="5"/>
        <v/>
      </c>
      <c r="J51" s="25" t="str">
        <f t="shared" ca="1" si="6"/>
        <v/>
      </c>
      <c r="K51" s="22" t="str">
        <f t="shared" si="7"/>
        <v/>
      </c>
      <c r="L51" s="23" t="str">
        <f t="shared" ca="1" si="1"/>
        <v/>
      </c>
      <c r="M51" s="7"/>
      <c r="N51" s="10" t="str">
        <f t="shared" si="11"/>
        <v/>
      </c>
      <c r="O51" s="7"/>
      <c r="P51" s="12" t="str">
        <f t="shared" si="8"/>
        <v/>
      </c>
      <c r="Q51" s="13" t="str">
        <f t="shared" si="9"/>
        <v/>
      </c>
      <c r="R51" s="10" t="str">
        <f t="shared" si="12"/>
        <v/>
      </c>
      <c r="S51" s="7" t="s">
        <v>9</v>
      </c>
      <c r="T51" s="10" t="str">
        <f t="shared" si="13"/>
        <v/>
      </c>
      <c r="U51" s="7" t="s">
        <v>9</v>
      </c>
    </row>
    <row r="52" spans="1:21" s="2" customFormat="1" ht="12" customHeight="1" x14ac:dyDescent="0.4">
      <c r="A52" s="9" t="str">
        <f t="shared" ca="1" si="10"/>
        <v/>
      </c>
      <c r="B52" s="6"/>
      <c r="C52" s="6"/>
      <c r="D52" s="6"/>
      <c r="E52" s="11"/>
      <c r="F52" s="11"/>
      <c r="G52" s="7"/>
      <c r="H52" s="21"/>
      <c r="I52" s="24" t="str">
        <f t="shared" si="5"/>
        <v/>
      </c>
      <c r="J52" s="25" t="str">
        <f t="shared" ca="1" si="6"/>
        <v/>
      </c>
      <c r="K52" s="22" t="str">
        <f t="shared" si="7"/>
        <v/>
      </c>
      <c r="L52" s="23" t="str">
        <f t="shared" ca="1" si="1"/>
        <v/>
      </c>
      <c r="M52" s="7"/>
      <c r="N52" s="10" t="str">
        <f t="shared" si="11"/>
        <v/>
      </c>
      <c r="O52" s="7"/>
      <c r="P52" s="12" t="str">
        <f t="shared" si="8"/>
        <v/>
      </c>
      <c r="Q52" s="13" t="str">
        <f t="shared" si="9"/>
        <v/>
      </c>
      <c r="R52" s="10" t="str">
        <f t="shared" si="12"/>
        <v/>
      </c>
      <c r="S52" s="7" t="s">
        <v>9</v>
      </c>
      <c r="T52" s="10" t="str">
        <f t="shared" si="13"/>
        <v/>
      </c>
      <c r="U52" s="7" t="s">
        <v>9</v>
      </c>
    </row>
    <row r="53" spans="1:21" s="2" customFormat="1" ht="12" customHeight="1" x14ac:dyDescent="0.4">
      <c r="A53" s="9" t="str">
        <f t="shared" ca="1" si="10"/>
        <v/>
      </c>
      <c r="B53" s="6"/>
      <c r="C53" s="6"/>
      <c r="D53" s="6"/>
      <c r="E53" s="11"/>
      <c r="F53" s="11"/>
      <c r="G53" s="7"/>
      <c r="H53" s="21"/>
      <c r="I53" s="24" t="str">
        <f t="shared" si="5"/>
        <v/>
      </c>
      <c r="J53" s="25" t="str">
        <f t="shared" ca="1" si="6"/>
        <v/>
      </c>
      <c r="K53" s="22" t="str">
        <f t="shared" si="7"/>
        <v/>
      </c>
      <c r="L53" s="23" t="str">
        <f t="shared" ca="1" si="1"/>
        <v/>
      </c>
      <c r="M53" s="7"/>
      <c r="N53" s="10" t="str">
        <f t="shared" si="11"/>
        <v/>
      </c>
      <c r="O53" s="7"/>
      <c r="P53" s="12" t="str">
        <f t="shared" si="8"/>
        <v/>
      </c>
      <c r="Q53" s="13" t="str">
        <f t="shared" si="9"/>
        <v/>
      </c>
      <c r="R53" s="10" t="str">
        <f t="shared" si="12"/>
        <v/>
      </c>
      <c r="S53" s="7" t="s">
        <v>9</v>
      </c>
      <c r="T53" s="10" t="str">
        <f t="shared" si="13"/>
        <v/>
      </c>
      <c r="U53" s="7" t="s">
        <v>9</v>
      </c>
    </row>
    <row r="54" spans="1:21" s="2" customFormat="1" ht="12" customHeight="1" x14ac:dyDescent="0.4">
      <c r="A54" s="9" t="str">
        <f t="shared" ca="1" si="10"/>
        <v/>
      </c>
      <c r="B54" s="6"/>
      <c r="C54" s="6"/>
      <c r="D54" s="6"/>
      <c r="E54" s="11"/>
      <c r="F54" s="11"/>
      <c r="G54" s="7"/>
      <c r="H54" s="21"/>
      <c r="I54" s="24" t="str">
        <f t="shared" si="5"/>
        <v/>
      </c>
      <c r="J54" s="25" t="str">
        <f t="shared" ca="1" si="6"/>
        <v/>
      </c>
      <c r="K54" s="22" t="str">
        <f t="shared" si="7"/>
        <v/>
      </c>
      <c r="L54" s="23" t="str">
        <f t="shared" ca="1" si="1"/>
        <v/>
      </c>
      <c r="M54" s="7"/>
      <c r="N54" s="10" t="str">
        <f t="shared" si="11"/>
        <v/>
      </c>
      <c r="O54" s="7"/>
      <c r="P54" s="12" t="str">
        <f t="shared" si="8"/>
        <v/>
      </c>
      <c r="Q54" s="13" t="str">
        <f t="shared" si="9"/>
        <v/>
      </c>
      <c r="R54" s="10" t="str">
        <f t="shared" si="12"/>
        <v/>
      </c>
      <c r="S54" s="7" t="s">
        <v>9</v>
      </c>
      <c r="T54" s="10" t="str">
        <f t="shared" si="13"/>
        <v/>
      </c>
      <c r="U54" s="7" t="s">
        <v>9</v>
      </c>
    </row>
    <row r="55" spans="1:21" s="2" customFormat="1" ht="12" customHeight="1" x14ac:dyDescent="0.4">
      <c r="A55" s="9" t="str">
        <f t="shared" ca="1" si="10"/>
        <v/>
      </c>
      <c r="B55" s="6"/>
      <c r="C55" s="6"/>
      <c r="D55" s="6"/>
      <c r="E55" s="11"/>
      <c r="F55" s="11"/>
      <c r="G55" s="7"/>
      <c r="H55" s="21"/>
      <c r="I55" s="24" t="str">
        <f t="shared" si="5"/>
        <v/>
      </c>
      <c r="J55" s="25" t="str">
        <f t="shared" ca="1" si="6"/>
        <v/>
      </c>
      <c r="K55" s="22" t="str">
        <f t="shared" si="7"/>
        <v/>
      </c>
      <c r="L55" s="23" t="str">
        <f t="shared" ca="1" si="1"/>
        <v/>
      </c>
      <c r="M55" s="7"/>
      <c r="N55" s="10" t="str">
        <f t="shared" si="11"/>
        <v/>
      </c>
      <c r="O55" s="7"/>
      <c r="P55" s="12" t="str">
        <f t="shared" si="8"/>
        <v/>
      </c>
      <c r="Q55" s="13" t="str">
        <f t="shared" si="9"/>
        <v/>
      </c>
      <c r="R55" s="10" t="str">
        <f t="shared" si="12"/>
        <v/>
      </c>
      <c r="S55" s="7" t="s">
        <v>9</v>
      </c>
      <c r="T55" s="10" t="str">
        <f t="shared" si="13"/>
        <v/>
      </c>
      <c r="U55" s="7" t="s">
        <v>9</v>
      </c>
    </row>
    <row r="56" spans="1:21" s="2" customFormat="1" ht="12" customHeight="1" x14ac:dyDescent="0.4">
      <c r="A56" s="9" t="str">
        <f t="shared" ca="1" si="10"/>
        <v/>
      </c>
      <c r="B56" s="6"/>
      <c r="C56" s="6"/>
      <c r="D56" s="6"/>
      <c r="E56" s="11"/>
      <c r="F56" s="11"/>
      <c r="G56" s="7"/>
      <c r="H56" s="21"/>
      <c r="I56" s="24" t="str">
        <f t="shared" si="5"/>
        <v/>
      </c>
      <c r="J56" s="25" t="str">
        <f t="shared" ca="1" si="6"/>
        <v/>
      </c>
      <c r="K56" s="22" t="str">
        <f t="shared" si="7"/>
        <v/>
      </c>
      <c r="L56" s="23" t="str">
        <f t="shared" ca="1" si="1"/>
        <v/>
      </c>
      <c r="M56" s="7"/>
      <c r="N56" s="10" t="str">
        <f t="shared" si="11"/>
        <v/>
      </c>
      <c r="O56" s="7"/>
      <c r="P56" s="12" t="str">
        <f t="shared" si="8"/>
        <v/>
      </c>
      <c r="Q56" s="13" t="str">
        <f t="shared" si="9"/>
        <v/>
      </c>
      <c r="R56" s="10" t="str">
        <f t="shared" si="12"/>
        <v/>
      </c>
      <c r="S56" s="7" t="s">
        <v>9</v>
      </c>
      <c r="T56" s="10" t="str">
        <f t="shared" si="13"/>
        <v/>
      </c>
      <c r="U56" s="7" t="s">
        <v>9</v>
      </c>
    </row>
    <row r="57" spans="1:21" s="2" customFormat="1" ht="12" customHeight="1" x14ac:dyDescent="0.4">
      <c r="A57" s="9" t="str">
        <f t="shared" ca="1" si="10"/>
        <v/>
      </c>
      <c r="B57" s="6"/>
      <c r="C57" s="6"/>
      <c r="D57" s="6"/>
      <c r="E57" s="11"/>
      <c r="F57" s="11"/>
      <c r="G57" s="7"/>
      <c r="H57" s="21"/>
      <c r="I57" s="24" t="str">
        <f t="shared" si="5"/>
        <v/>
      </c>
      <c r="J57" s="25" t="str">
        <f t="shared" ca="1" si="6"/>
        <v/>
      </c>
      <c r="K57" s="22" t="str">
        <f t="shared" si="7"/>
        <v/>
      </c>
      <c r="L57" s="23" t="str">
        <f t="shared" ca="1" si="1"/>
        <v/>
      </c>
      <c r="M57" s="7"/>
      <c r="N57" s="10" t="str">
        <f t="shared" si="11"/>
        <v/>
      </c>
      <c r="O57" s="7"/>
      <c r="P57" s="12" t="str">
        <f t="shared" si="8"/>
        <v/>
      </c>
      <c r="Q57" s="13" t="str">
        <f t="shared" si="9"/>
        <v/>
      </c>
      <c r="R57" s="10" t="str">
        <f t="shared" si="12"/>
        <v/>
      </c>
      <c r="S57" s="7" t="s">
        <v>9</v>
      </c>
      <c r="T57" s="10" t="str">
        <f t="shared" si="13"/>
        <v/>
      </c>
      <c r="U57" s="7" t="s">
        <v>9</v>
      </c>
    </row>
    <row r="58" spans="1:21" s="2" customFormat="1" ht="12" customHeight="1" x14ac:dyDescent="0.4">
      <c r="A58" s="9" t="str">
        <f t="shared" ca="1" si="10"/>
        <v/>
      </c>
      <c r="B58" s="6"/>
      <c r="C58" s="6"/>
      <c r="D58" s="6"/>
      <c r="E58" s="11"/>
      <c r="F58" s="11"/>
      <c r="G58" s="7"/>
      <c r="H58" s="21"/>
      <c r="I58" s="24" t="str">
        <f t="shared" si="5"/>
        <v/>
      </c>
      <c r="J58" s="25" t="str">
        <f t="shared" ca="1" si="6"/>
        <v/>
      </c>
      <c r="K58" s="22" t="str">
        <f t="shared" si="7"/>
        <v/>
      </c>
      <c r="L58" s="23" t="str">
        <f t="shared" ca="1" si="1"/>
        <v/>
      </c>
      <c r="M58" s="7"/>
      <c r="N58" s="10" t="str">
        <f t="shared" si="11"/>
        <v/>
      </c>
      <c r="O58" s="7"/>
      <c r="P58" s="12" t="str">
        <f t="shared" si="8"/>
        <v/>
      </c>
      <c r="Q58" s="13" t="str">
        <f t="shared" si="9"/>
        <v/>
      </c>
      <c r="R58" s="10" t="str">
        <f t="shared" si="12"/>
        <v/>
      </c>
      <c r="S58" s="7" t="s">
        <v>9</v>
      </c>
      <c r="T58" s="10" t="str">
        <f t="shared" si="13"/>
        <v/>
      </c>
      <c r="U58" s="7" t="s">
        <v>9</v>
      </c>
    </row>
    <row r="59" spans="1:21" s="2" customFormat="1" ht="12" customHeight="1" x14ac:dyDescent="0.4">
      <c r="A59" s="9" t="str">
        <f t="shared" ca="1" si="10"/>
        <v/>
      </c>
      <c r="B59" s="6"/>
      <c r="C59" s="6"/>
      <c r="D59" s="6"/>
      <c r="E59" s="11"/>
      <c r="F59" s="11"/>
      <c r="G59" s="7"/>
      <c r="H59" s="21"/>
      <c r="I59" s="24" t="str">
        <f t="shared" si="5"/>
        <v/>
      </c>
      <c r="J59" s="25" t="str">
        <f t="shared" ca="1" si="6"/>
        <v/>
      </c>
      <c r="K59" s="22" t="str">
        <f t="shared" si="7"/>
        <v/>
      </c>
      <c r="L59" s="23" t="str">
        <f t="shared" ca="1" si="1"/>
        <v/>
      </c>
      <c r="M59" s="7"/>
      <c r="N59" s="10" t="str">
        <f t="shared" si="11"/>
        <v/>
      </c>
      <c r="O59" s="7"/>
      <c r="P59" s="12" t="str">
        <f t="shared" si="8"/>
        <v/>
      </c>
      <c r="Q59" s="13" t="str">
        <f t="shared" si="9"/>
        <v/>
      </c>
      <c r="R59" s="10" t="str">
        <f t="shared" si="12"/>
        <v/>
      </c>
      <c r="S59" s="7" t="s">
        <v>9</v>
      </c>
      <c r="T59" s="10" t="str">
        <f t="shared" si="13"/>
        <v/>
      </c>
      <c r="U59" s="7" t="s">
        <v>9</v>
      </c>
    </row>
    <row r="60" spans="1:21" s="2" customFormat="1" ht="12" customHeight="1" x14ac:dyDescent="0.4">
      <c r="A60" s="9" t="str">
        <f t="shared" ca="1" si="10"/>
        <v/>
      </c>
      <c r="B60" s="6"/>
      <c r="C60" s="6"/>
      <c r="D60" s="6"/>
      <c r="E60" s="11"/>
      <c r="F60" s="11"/>
      <c r="G60" s="7"/>
      <c r="H60" s="21"/>
      <c r="I60" s="24" t="str">
        <f t="shared" si="5"/>
        <v/>
      </c>
      <c r="J60" s="25" t="str">
        <f t="shared" ca="1" si="6"/>
        <v/>
      </c>
      <c r="K60" s="22" t="str">
        <f t="shared" si="7"/>
        <v/>
      </c>
      <c r="L60" s="23" t="str">
        <f t="shared" ca="1" si="1"/>
        <v/>
      </c>
      <c r="M60" s="7"/>
      <c r="N60" s="10" t="str">
        <f t="shared" si="11"/>
        <v/>
      </c>
      <c r="O60" s="7"/>
      <c r="P60" s="12" t="str">
        <f t="shared" si="8"/>
        <v/>
      </c>
      <c r="Q60" s="13" t="str">
        <f t="shared" si="9"/>
        <v/>
      </c>
      <c r="R60" s="10" t="str">
        <f t="shared" si="12"/>
        <v/>
      </c>
      <c r="S60" s="7" t="s">
        <v>9</v>
      </c>
      <c r="T60" s="10" t="str">
        <f t="shared" si="13"/>
        <v/>
      </c>
      <c r="U60" s="7" t="s">
        <v>9</v>
      </c>
    </row>
    <row r="61" spans="1:21" s="2" customFormat="1" ht="12" customHeight="1" x14ac:dyDescent="0.4">
      <c r="A61" s="9" t="str">
        <f t="shared" ca="1" si="10"/>
        <v/>
      </c>
      <c r="B61" s="6"/>
      <c r="C61" s="6"/>
      <c r="D61" s="6"/>
      <c r="E61" s="11"/>
      <c r="F61" s="11"/>
      <c r="G61" s="7"/>
      <c r="H61" s="21"/>
      <c r="I61" s="24" t="str">
        <f t="shared" si="5"/>
        <v/>
      </c>
      <c r="J61" s="25" t="str">
        <f t="shared" ca="1" si="6"/>
        <v/>
      </c>
      <c r="K61" s="22" t="str">
        <f t="shared" si="7"/>
        <v/>
      </c>
      <c r="L61" s="23" t="str">
        <f t="shared" ca="1" si="1"/>
        <v/>
      </c>
      <c r="M61" s="7"/>
      <c r="N61" s="10" t="str">
        <f t="shared" si="11"/>
        <v/>
      </c>
      <c r="O61" s="7"/>
      <c r="P61" s="12" t="str">
        <f t="shared" si="8"/>
        <v/>
      </c>
      <c r="Q61" s="13" t="str">
        <f t="shared" si="9"/>
        <v/>
      </c>
      <c r="R61" s="10" t="str">
        <f t="shared" si="12"/>
        <v/>
      </c>
      <c r="S61" s="7" t="s">
        <v>9</v>
      </c>
      <c r="T61" s="10" t="str">
        <f t="shared" si="13"/>
        <v/>
      </c>
      <c r="U61" s="7" t="s">
        <v>9</v>
      </c>
    </row>
    <row r="62" spans="1:21" s="2" customFormat="1" ht="12" customHeight="1" x14ac:dyDescent="0.4">
      <c r="A62" s="9" t="str">
        <f t="shared" ca="1" si="10"/>
        <v/>
      </c>
      <c r="B62" s="6"/>
      <c r="C62" s="6"/>
      <c r="D62" s="6"/>
      <c r="E62" s="11"/>
      <c r="F62" s="11"/>
      <c r="G62" s="7"/>
      <c r="H62" s="21"/>
      <c r="I62" s="24" t="str">
        <f t="shared" si="5"/>
        <v/>
      </c>
      <c r="J62" s="25" t="str">
        <f t="shared" ca="1" si="6"/>
        <v/>
      </c>
      <c r="K62" s="22" t="str">
        <f t="shared" si="7"/>
        <v/>
      </c>
      <c r="L62" s="23" t="str">
        <f t="shared" ca="1" si="1"/>
        <v/>
      </c>
      <c r="M62" s="7"/>
      <c r="N62" s="10" t="str">
        <f t="shared" si="11"/>
        <v/>
      </c>
      <c r="O62" s="7"/>
      <c r="P62" s="12" t="str">
        <f t="shared" si="8"/>
        <v/>
      </c>
      <c r="Q62" s="13" t="str">
        <f t="shared" si="9"/>
        <v/>
      </c>
      <c r="R62" s="10" t="str">
        <f t="shared" si="12"/>
        <v/>
      </c>
      <c r="S62" s="7" t="s">
        <v>9</v>
      </c>
      <c r="T62" s="10" t="str">
        <f t="shared" si="13"/>
        <v/>
      </c>
      <c r="U62" s="7" t="s">
        <v>9</v>
      </c>
    </row>
    <row r="63" spans="1:21" s="2" customFormat="1" ht="12" customHeight="1" x14ac:dyDescent="0.4">
      <c r="A63" s="9" t="str">
        <f t="shared" ca="1" si="10"/>
        <v/>
      </c>
      <c r="B63" s="6"/>
      <c r="C63" s="6"/>
      <c r="D63" s="6"/>
      <c r="E63" s="11"/>
      <c r="F63" s="11"/>
      <c r="G63" s="7"/>
      <c r="H63" s="21"/>
      <c r="I63" s="24" t="str">
        <f t="shared" si="5"/>
        <v/>
      </c>
      <c r="J63" s="25" t="str">
        <f t="shared" ca="1" si="6"/>
        <v/>
      </c>
      <c r="K63" s="22" t="str">
        <f t="shared" si="7"/>
        <v/>
      </c>
      <c r="L63" s="23" t="str">
        <f t="shared" ca="1" si="1"/>
        <v/>
      </c>
      <c r="M63" s="7"/>
      <c r="N63" s="10" t="str">
        <f t="shared" si="11"/>
        <v/>
      </c>
      <c r="O63" s="7"/>
      <c r="P63" s="12" t="str">
        <f t="shared" si="8"/>
        <v/>
      </c>
      <c r="Q63" s="13" t="str">
        <f t="shared" si="9"/>
        <v/>
      </c>
      <c r="R63" s="10" t="str">
        <f t="shared" si="12"/>
        <v/>
      </c>
      <c r="S63" s="7" t="s">
        <v>9</v>
      </c>
      <c r="T63" s="10" t="str">
        <f t="shared" si="13"/>
        <v/>
      </c>
      <c r="U63" s="7" t="s">
        <v>9</v>
      </c>
    </row>
    <row r="64" spans="1:21" s="2" customFormat="1" ht="12" customHeight="1" x14ac:dyDescent="0.4">
      <c r="A64" s="9" t="str">
        <f t="shared" ca="1" si="10"/>
        <v/>
      </c>
      <c r="B64" s="6"/>
      <c r="C64" s="6"/>
      <c r="D64" s="6"/>
      <c r="E64" s="11"/>
      <c r="F64" s="11"/>
      <c r="G64" s="7"/>
      <c r="H64" s="21"/>
      <c r="I64" s="24" t="str">
        <f t="shared" si="5"/>
        <v/>
      </c>
      <c r="J64" s="25" t="str">
        <f t="shared" ca="1" si="6"/>
        <v/>
      </c>
      <c r="K64" s="22" t="str">
        <f t="shared" si="7"/>
        <v/>
      </c>
      <c r="L64" s="23" t="str">
        <f t="shared" ca="1" si="1"/>
        <v/>
      </c>
      <c r="M64" s="7"/>
      <c r="N64" s="10" t="str">
        <f t="shared" si="11"/>
        <v/>
      </c>
      <c r="O64" s="7"/>
      <c r="P64" s="12" t="str">
        <f t="shared" si="8"/>
        <v/>
      </c>
      <c r="Q64" s="13" t="str">
        <f t="shared" si="9"/>
        <v/>
      </c>
      <c r="R64" s="10" t="str">
        <f t="shared" si="12"/>
        <v/>
      </c>
      <c r="S64" s="7" t="s">
        <v>9</v>
      </c>
      <c r="T64" s="10" t="str">
        <f t="shared" si="13"/>
        <v/>
      </c>
      <c r="U64" s="7" t="s">
        <v>9</v>
      </c>
    </row>
    <row r="65" spans="1:21" s="2" customFormat="1" ht="12" customHeight="1" x14ac:dyDescent="0.4">
      <c r="A65" s="9" t="str">
        <f t="shared" ca="1" si="10"/>
        <v/>
      </c>
      <c r="B65" s="6"/>
      <c r="C65" s="6"/>
      <c r="D65" s="6"/>
      <c r="E65" s="11"/>
      <c r="F65" s="11"/>
      <c r="G65" s="7"/>
      <c r="H65" s="21"/>
      <c r="I65" s="24" t="str">
        <f t="shared" si="5"/>
        <v/>
      </c>
      <c r="J65" s="25" t="str">
        <f t="shared" ca="1" si="6"/>
        <v/>
      </c>
      <c r="K65" s="22" t="str">
        <f t="shared" si="7"/>
        <v/>
      </c>
      <c r="L65" s="23" t="str">
        <f t="shared" ca="1" si="1"/>
        <v/>
      </c>
      <c r="M65" s="7"/>
      <c r="N65" s="10" t="str">
        <f t="shared" si="11"/>
        <v/>
      </c>
      <c r="O65" s="7"/>
      <c r="P65" s="12" t="str">
        <f t="shared" si="8"/>
        <v/>
      </c>
      <c r="Q65" s="13" t="str">
        <f t="shared" si="9"/>
        <v/>
      </c>
      <c r="R65" s="10" t="str">
        <f t="shared" si="12"/>
        <v/>
      </c>
      <c r="S65" s="7" t="s">
        <v>9</v>
      </c>
      <c r="T65" s="10" t="str">
        <f t="shared" si="13"/>
        <v/>
      </c>
      <c r="U65" s="7" t="s">
        <v>9</v>
      </c>
    </row>
    <row r="66" spans="1:21" s="2" customFormat="1" ht="12" customHeight="1" x14ac:dyDescent="0.4">
      <c r="A66" s="9" t="str">
        <f t="shared" ca="1" si="10"/>
        <v/>
      </c>
      <c r="B66" s="6"/>
      <c r="C66" s="6"/>
      <c r="D66" s="6"/>
      <c r="E66" s="11"/>
      <c r="F66" s="11"/>
      <c r="G66" s="7"/>
      <c r="H66" s="21"/>
      <c r="I66" s="24" t="str">
        <f t="shared" si="5"/>
        <v/>
      </c>
      <c r="J66" s="25" t="str">
        <f t="shared" ca="1" si="6"/>
        <v/>
      </c>
      <c r="K66" s="22" t="str">
        <f t="shared" si="7"/>
        <v/>
      </c>
      <c r="L66" s="23" t="str">
        <f t="shared" ca="1" si="1"/>
        <v/>
      </c>
      <c r="M66" s="7"/>
      <c r="N66" s="10" t="str">
        <f t="shared" si="11"/>
        <v/>
      </c>
      <c r="O66" s="7"/>
      <c r="P66" s="12" t="str">
        <f t="shared" si="8"/>
        <v/>
      </c>
      <c r="Q66" s="13" t="str">
        <f t="shared" si="9"/>
        <v/>
      </c>
      <c r="R66" s="10" t="str">
        <f t="shared" si="12"/>
        <v/>
      </c>
      <c r="S66" s="7" t="s">
        <v>9</v>
      </c>
      <c r="T66" s="10" t="str">
        <f t="shared" si="13"/>
        <v/>
      </c>
      <c r="U66" s="7" t="s">
        <v>9</v>
      </c>
    </row>
    <row r="67" spans="1:21" s="2" customFormat="1" ht="12" customHeight="1" x14ac:dyDescent="0.4">
      <c r="A67" s="9" t="str">
        <f t="shared" ref="A67:A98" ca="1" si="14">IF(
    OR(
        $B67="",
        OFFSET($B67,-1,0)=""
    ),
    "",
    IF(
        OFFSET($B67,-1,0)=$B$2,
        1,
        OFFSET($A67,-1,0)+1
    )
)</f>
        <v/>
      </c>
      <c r="B67" s="6"/>
      <c r="C67" s="6"/>
      <c r="D67" s="6"/>
      <c r="E67" s="11"/>
      <c r="F67" s="11"/>
      <c r="G67" s="7"/>
      <c r="H67" s="21"/>
      <c r="I67" s="24" t="str">
        <f t="shared" si="5"/>
        <v/>
      </c>
      <c r="J67" s="25" t="str">
        <f t="shared" ca="1" si="6"/>
        <v/>
      </c>
      <c r="K67" s="22" t="str">
        <f t="shared" si="7"/>
        <v/>
      </c>
      <c r="L67" s="23" t="str">
        <f t="shared" ref="L67:L130" ca="1" si="15">IF(J67&lt;&gt;"",(J67/"0:0:1"),"")</f>
        <v/>
      </c>
      <c r="M67" s="7"/>
      <c r="N67" s="10" t="str">
        <f t="shared" ref="N67:N98" si="16">IF(
    B67="",
    "",
    K67&amp;CHAR(9)&amp;L67&amp;CHAR(9)&amp;"L"&amp;TEXT($A67,"000")
)</f>
        <v/>
      </c>
      <c r="O67" s="7"/>
      <c r="P67" s="12" t="str">
        <f t="shared" si="8"/>
        <v/>
      </c>
      <c r="Q67" s="13" t="str">
        <f t="shared" si="9"/>
        <v/>
      </c>
      <c r="R67" s="10" t="str">
        <f t="shared" ref="R67:R98" si="17">IF(
    B67="",
    "",
    SUBSTITUTE($C67,"-","－")&amp;" - "&amp;
    SUBSTITUTE($B67,"-","－")&amp;" - "&amp;
    $I67
)</f>
        <v/>
      </c>
      <c r="S67" s="7" t="s">
        <v>9</v>
      </c>
      <c r="T67" s="10" t="str">
        <f t="shared" ref="T67:T98" si="18">IF(
    B67="",
    "",
    TEXT($A67,"00 ")&amp;B67&amp;CHAR(9)&amp;
    B67&amp;CHAR(9)&amp;
    C67&amp;CHAR(9)&amp;
    "Tatsuya Endo"&amp;CHAR(9)&amp;
    D67&amp;CHAR(9)&amp;
    A67&amp;CHAR(9)&amp;
    E67&amp;CHAR(9)&amp;
    F67&amp;CHAR(9)&amp;
    REPT(CHAR(9),9)
)</f>
        <v/>
      </c>
      <c r="U67" s="7" t="s">
        <v>9</v>
      </c>
    </row>
    <row r="68" spans="1:21" s="2" customFormat="1" ht="12" customHeight="1" x14ac:dyDescent="0.4">
      <c r="A68" s="9" t="str">
        <f t="shared" ca="1" si="14"/>
        <v/>
      </c>
      <c r="B68" s="6"/>
      <c r="C68" s="6"/>
      <c r="D68" s="6"/>
      <c r="E68" s="11"/>
      <c r="F68" s="11"/>
      <c r="G68" s="7"/>
      <c r="H68" s="21"/>
      <c r="I68" s="24" t="str">
        <f t="shared" ref="I68:I131" si="19">IF(H68="","",TEXT(H68,"h:mm:ss"))</f>
        <v/>
      </c>
      <c r="J68" s="25" t="str">
        <f t="shared" ref="J68:J131" ca="1" si="20">IF(OFFSET(J68,1,-1)&lt;&gt;"",OFFSET(J68,1,-1),"")</f>
        <v/>
      </c>
      <c r="K68" s="22" t="str">
        <f t="shared" ref="K68:K131" si="21">IF(H68&lt;&gt;"",(H68/"0:0:1"),"")</f>
        <v/>
      </c>
      <c r="L68" s="23" t="str">
        <f t="shared" ca="1" si="15"/>
        <v/>
      </c>
      <c r="M68" s="7"/>
      <c r="N68" s="10" t="str">
        <f t="shared" si="16"/>
        <v/>
      </c>
      <c r="O68" s="7"/>
      <c r="P68" s="12" t="str">
        <f t="shared" ref="P68:P131" si="22">IF(
    $B68="",
    "",
    IF(
        ISERROR(FIND("-",$B68)),
        "〇",
        "×"
    )
)</f>
        <v/>
      </c>
      <c r="Q68" s="13" t="str">
        <f t="shared" ref="Q68:Q131" si="23">IF(
    $C68="",
    "",
    IF(
        ISERROR(FIND("-",$C68)),
        "〇",
        "×"
    )
)</f>
        <v/>
      </c>
      <c r="R68" s="10" t="str">
        <f t="shared" si="17"/>
        <v/>
      </c>
      <c r="S68" s="7" t="s">
        <v>9</v>
      </c>
      <c r="T68" s="10" t="str">
        <f t="shared" si="18"/>
        <v/>
      </c>
      <c r="U68" s="7" t="s">
        <v>9</v>
      </c>
    </row>
    <row r="69" spans="1:21" s="2" customFormat="1" ht="12" customHeight="1" x14ac:dyDescent="0.4">
      <c r="A69" s="9" t="str">
        <f t="shared" ca="1" si="14"/>
        <v/>
      </c>
      <c r="B69" s="6"/>
      <c r="C69" s="6"/>
      <c r="D69" s="6"/>
      <c r="E69" s="11"/>
      <c r="F69" s="11"/>
      <c r="G69" s="7"/>
      <c r="H69" s="21"/>
      <c r="I69" s="24" t="str">
        <f t="shared" si="19"/>
        <v/>
      </c>
      <c r="J69" s="25" t="str">
        <f t="shared" ca="1" si="20"/>
        <v/>
      </c>
      <c r="K69" s="22" t="str">
        <f t="shared" si="21"/>
        <v/>
      </c>
      <c r="L69" s="23" t="str">
        <f t="shared" ca="1" si="15"/>
        <v/>
      </c>
      <c r="M69" s="7"/>
      <c r="N69" s="10" t="str">
        <f t="shared" si="16"/>
        <v/>
      </c>
      <c r="O69" s="7"/>
      <c r="P69" s="12" t="str">
        <f t="shared" si="22"/>
        <v/>
      </c>
      <c r="Q69" s="13" t="str">
        <f t="shared" si="23"/>
        <v/>
      </c>
      <c r="R69" s="10" t="str">
        <f t="shared" si="17"/>
        <v/>
      </c>
      <c r="S69" s="7" t="s">
        <v>9</v>
      </c>
      <c r="T69" s="10" t="str">
        <f t="shared" si="18"/>
        <v/>
      </c>
      <c r="U69" s="7" t="s">
        <v>9</v>
      </c>
    </row>
    <row r="70" spans="1:21" s="2" customFormat="1" ht="12" customHeight="1" x14ac:dyDescent="0.4">
      <c r="A70" s="9" t="str">
        <f t="shared" ca="1" si="14"/>
        <v/>
      </c>
      <c r="B70" s="6"/>
      <c r="C70" s="6"/>
      <c r="D70" s="6"/>
      <c r="E70" s="11"/>
      <c r="F70" s="11"/>
      <c r="G70" s="7"/>
      <c r="H70" s="21"/>
      <c r="I70" s="24" t="str">
        <f t="shared" si="19"/>
        <v/>
      </c>
      <c r="J70" s="25" t="str">
        <f t="shared" ca="1" si="20"/>
        <v/>
      </c>
      <c r="K70" s="22" t="str">
        <f t="shared" si="21"/>
        <v/>
      </c>
      <c r="L70" s="23" t="str">
        <f t="shared" ca="1" si="15"/>
        <v/>
      </c>
      <c r="M70" s="7"/>
      <c r="N70" s="10" t="str">
        <f t="shared" si="16"/>
        <v/>
      </c>
      <c r="O70" s="7"/>
      <c r="P70" s="12" t="str">
        <f t="shared" si="22"/>
        <v/>
      </c>
      <c r="Q70" s="13" t="str">
        <f t="shared" si="23"/>
        <v/>
      </c>
      <c r="R70" s="10" t="str">
        <f t="shared" si="17"/>
        <v/>
      </c>
      <c r="S70" s="7" t="s">
        <v>9</v>
      </c>
      <c r="T70" s="10" t="str">
        <f t="shared" si="18"/>
        <v/>
      </c>
      <c r="U70" s="7" t="s">
        <v>9</v>
      </c>
    </row>
    <row r="71" spans="1:21" s="2" customFormat="1" ht="12" customHeight="1" x14ac:dyDescent="0.4">
      <c r="A71" s="9" t="str">
        <f t="shared" ca="1" si="14"/>
        <v/>
      </c>
      <c r="B71" s="6"/>
      <c r="C71" s="6"/>
      <c r="D71" s="6"/>
      <c r="E71" s="11"/>
      <c r="F71" s="11"/>
      <c r="G71" s="7"/>
      <c r="H71" s="21"/>
      <c r="I71" s="24" t="str">
        <f t="shared" si="19"/>
        <v/>
      </c>
      <c r="J71" s="25" t="str">
        <f t="shared" ca="1" si="20"/>
        <v/>
      </c>
      <c r="K71" s="22" t="str">
        <f t="shared" si="21"/>
        <v/>
      </c>
      <c r="L71" s="23" t="str">
        <f t="shared" ca="1" si="15"/>
        <v/>
      </c>
      <c r="M71" s="7"/>
      <c r="N71" s="10" t="str">
        <f t="shared" si="16"/>
        <v/>
      </c>
      <c r="O71" s="7"/>
      <c r="P71" s="12" t="str">
        <f t="shared" si="22"/>
        <v/>
      </c>
      <c r="Q71" s="13" t="str">
        <f t="shared" si="23"/>
        <v/>
      </c>
      <c r="R71" s="10" t="str">
        <f t="shared" si="17"/>
        <v/>
      </c>
      <c r="S71" s="7" t="s">
        <v>9</v>
      </c>
      <c r="T71" s="10" t="str">
        <f t="shared" si="18"/>
        <v/>
      </c>
      <c r="U71" s="7" t="s">
        <v>9</v>
      </c>
    </row>
    <row r="72" spans="1:21" s="2" customFormat="1" ht="12" customHeight="1" x14ac:dyDescent="0.4">
      <c r="A72" s="9" t="str">
        <f t="shared" ca="1" si="14"/>
        <v/>
      </c>
      <c r="B72" s="6"/>
      <c r="C72" s="6"/>
      <c r="D72" s="6"/>
      <c r="E72" s="11"/>
      <c r="F72" s="11"/>
      <c r="G72" s="7"/>
      <c r="H72" s="21"/>
      <c r="I72" s="24" t="str">
        <f t="shared" si="19"/>
        <v/>
      </c>
      <c r="J72" s="25" t="str">
        <f t="shared" ca="1" si="20"/>
        <v/>
      </c>
      <c r="K72" s="22" t="str">
        <f t="shared" si="21"/>
        <v/>
      </c>
      <c r="L72" s="23" t="str">
        <f t="shared" ca="1" si="15"/>
        <v/>
      </c>
      <c r="M72" s="7"/>
      <c r="N72" s="10" t="str">
        <f t="shared" si="16"/>
        <v/>
      </c>
      <c r="O72" s="7"/>
      <c r="P72" s="12" t="str">
        <f t="shared" si="22"/>
        <v/>
      </c>
      <c r="Q72" s="13" t="str">
        <f t="shared" si="23"/>
        <v/>
      </c>
      <c r="R72" s="10" t="str">
        <f t="shared" si="17"/>
        <v/>
      </c>
      <c r="S72" s="7" t="s">
        <v>9</v>
      </c>
      <c r="T72" s="10" t="str">
        <f t="shared" si="18"/>
        <v/>
      </c>
      <c r="U72" s="7" t="s">
        <v>9</v>
      </c>
    </row>
    <row r="73" spans="1:21" s="2" customFormat="1" ht="12" customHeight="1" x14ac:dyDescent="0.4">
      <c r="A73" s="9" t="str">
        <f t="shared" ca="1" si="14"/>
        <v/>
      </c>
      <c r="B73" s="6"/>
      <c r="C73" s="6"/>
      <c r="D73" s="6"/>
      <c r="E73" s="11"/>
      <c r="F73" s="11"/>
      <c r="G73" s="7"/>
      <c r="H73" s="21"/>
      <c r="I73" s="24" t="str">
        <f t="shared" si="19"/>
        <v/>
      </c>
      <c r="J73" s="25" t="str">
        <f t="shared" ca="1" si="20"/>
        <v/>
      </c>
      <c r="K73" s="22" t="str">
        <f t="shared" si="21"/>
        <v/>
      </c>
      <c r="L73" s="23" t="str">
        <f t="shared" ca="1" si="15"/>
        <v/>
      </c>
      <c r="M73" s="7"/>
      <c r="N73" s="10" t="str">
        <f t="shared" si="16"/>
        <v/>
      </c>
      <c r="O73" s="7"/>
      <c r="P73" s="12" t="str">
        <f t="shared" si="22"/>
        <v/>
      </c>
      <c r="Q73" s="13" t="str">
        <f t="shared" si="23"/>
        <v/>
      </c>
      <c r="R73" s="10" t="str">
        <f t="shared" si="17"/>
        <v/>
      </c>
      <c r="S73" s="7" t="s">
        <v>9</v>
      </c>
      <c r="T73" s="10" t="str">
        <f t="shared" si="18"/>
        <v/>
      </c>
      <c r="U73" s="7" t="s">
        <v>9</v>
      </c>
    </row>
    <row r="74" spans="1:21" s="2" customFormat="1" ht="12" customHeight="1" x14ac:dyDescent="0.4">
      <c r="A74" s="9" t="str">
        <f t="shared" ca="1" si="14"/>
        <v/>
      </c>
      <c r="B74" s="6"/>
      <c r="C74" s="6"/>
      <c r="D74" s="6"/>
      <c r="E74" s="11"/>
      <c r="F74" s="11"/>
      <c r="G74" s="7"/>
      <c r="H74" s="21"/>
      <c r="I74" s="24" t="str">
        <f t="shared" si="19"/>
        <v/>
      </c>
      <c r="J74" s="25" t="str">
        <f t="shared" ca="1" si="20"/>
        <v/>
      </c>
      <c r="K74" s="22" t="str">
        <f t="shared" si="21"/>
        <v/>
      </c>
      <c r="L74" s="23" t="str">
        <f t="shared" ca="1" si="15"/>
        <v/>
      </c>
      <c r="M74" s="7"/>
      <c r="N74" s="10" t="str">
        <f t="shared" si="16"/>
        <v/>
      </c>
      <c r="O74" s="7"/>
      <c r="P74" s="12" t="str">
        <f t="shared" si="22"/>
        <v/>
      </c>
      <c r="Q74" s="13" t="str">
        <f t="shared" si="23"/>
        <v/>
      </c>
      <c r="R74" s="10" t="str">
        <f t="shared" si="17"/>
        <v/>
      </c>
      <c r="S74" s="7" t="s">
        <v>9</v>
      </c>
      <c r="T74" s="10" t="str">
        <f t="shared" si="18"/>
        <v/>
      </c>
      <c r="U74" s="7" t="s">
        <v>9</v>
      </c>
    </row>
    <row r="75" spans="1:21" s="2" customFormat="1" ht="12" customHeight="1" x14ac:dyDescent="0.4">
      <c r="A75" s="9" t="str">
        <f t="shared" ca="1" si="14"/>
        <v/>
      </c>
      <c r="B75" s="6"/>
      <c r="C75" s="6"/>
      <c r="D75" s="6"/>
      <c r="E75" s="11"/>
      <c r="F75" s="11"/>
      <c r="G75" s="7"/>
      <c r="H75" s="21"/>
      <c r="I75" s="24" t="str">
        <f t="shared" si="19"/>
        <v/>
      </c>
      <c r="J75" s="25" t="str">
        <f t="shared" ca="1" si="20"/>
        <v/>
      </c>
      <c r="K75" s="22" t="str">
        <f t="shared" si="21"/>
        <v/>
      </c>
      <c r="L75" s="23" t="str">
        <f t="shared" ca="1" si="15"/>
        <v/>
      </c>
      <c r="M75" s="7"/>
      <c r="N75" s="10" t="str">
        <f t="shared" si="16"/>
        <v/>
      </c>
      <c r="O75" s="7"/>
      <c r="P75" s="12" t="str">
        <f t="shared" si="22"/>
        <v/>
      </c>
      <c r="Q75" s="13" t="str">
        <f t="shared" si="23"/>
        <v/>
      </c>
      <c r="R75" s="10" t="str">
        <f t="shared" si="17"/>
        <v/>
      </c>
      <c r="S75" s="7" t="s">
        <v>9</v>
      </c>
      <c r="T75" s="10" t="str">
        <f t="shared" si="18"/>
        <v/>
      </c>
      <c r="U75" s="7" t="s">
        <v>9</v>
      </c>
    </row>
    <row r="76" spans="1:21" s="2" customFormat="1" ht="12" customHeight="1" x14ac:dyDescent="0.4">
      <c r="A76" s="9" t="str">
        <f t="shared" ca="1" si="14"/>
        <v/>
      </c>
      <c r="B76" s="6"/>
      <c r="C76" s="6"/>
      <c r="D76" s="6"/>
      <c r="E76" s="11"/>
      <c r="F76" s="11"/>
      <c r="G76" s="7"/>
      <c r="H76" s="21"/>
      <c r="I76" s="24" t="str">
        <f t="shared" si="19"/>
        <v/>
      </c>
      <c r="J76" s="25" t="str">
        <f t="shared" ca="1" si="20"/>
        <v/>
      </c>
      <c r="K76" s="22" t="str">
        <f t="shared" si="21"/>
        <v/>
      </c>
      <c r="L76" s="23" t="str">
        <f t="shared" ca="1" si="15"/>
        <v/>
      </c>
      <c r="M76" s="7"/>
      <c r="N76" s="10" t="str">
        <f t="shared" si="16"/>
        <v/>
      </c>
      <c r="O76" s="7"/>
      <c r="P76" s="12" t="str">
        <f t="shared" si="22"/>
        <v/>
      </c>
      <c r="Q76" s="13" t="str">
        <f t="shared" si="23"/>
        <v/>
      </c>
      <c r="R76" s="10" t="str">
        <f t="shared" si="17"/>
        <v/>
      </c>
      <c r="S76" s="7" t="s">
        <v>9</v>
      </c>
      <c r="T76" s="10" t="str">
        <f t="shared" si="18"/>
        <v/>
      </c>
      <c r="U76" s="7" t="s">
        <v>9</v>
      </c>
    </row>
    <row r="77" spans="1:21" s="2" customFormat="1" ht="12" customHeight="1" x14ac:dyDescent="0.4">
      <c r="A77" s="9" t="str">
        <f t="shared" ca="1" si="14"/>
        <v/>
      </c>
      <c r="B77" s="6"/>
      <c r="C77" s="6"/>
      <c r="D77" s="6"/>
      <c r="E77" s="11"/>
      <c r="F77" s="11"/>
      <c r="G77" s="7"/>
      <c r="H77" s="21"/>
      <c r="I77" s="24" t="str">
        <f t="shared" si="19"/>
        <v/>
      </c>
      <c r="J77" s="25" t="str">
        <f t="shared" ca="1" si="20"/>
        <v/>
      </c>
      <c r="K77" s="22" t="str">
        <f t="shared" si="21"/>
        <v/>
      </c>
      <c r="L77" s="23" t="str">
        <f t="shared" ca="1" si="15"/>
        <v/>
      </c>
      <c r="M77" s="7"/>
      <c r="N77" s="10" t="str">
        <f t="shared" si="16"/>
        <v/>
      </c>
      <c r="O77" s="7"/>
      <c r="P77" s="12" t="str">
        <f t="shared" si="22"/>
        <v/>
      </c>
      <c r="Q77" s="13" t="str">
        <f t="shared" si="23"/>
        <v/>
      </c>
      <c r="R77" s="10" t="str">
        <f t="shared" si="17"/>
        <v/>
      </c>
      <c r="S77" s="7" t="s">
        <v>9</v>
      </c>
      <c r="T77" s="10" t="str">
        <f t="shared" si="18"/>
        <v/>
      </c>
      <c r="U77" s="7" t="s">
        <v>9</v>
      </c>
    </row>
    <row r="78" spans="1:21" s="2" customFormat="1" ht="12" customHeight="1" x14ac:dyDescent="0.4">
      <c r="A78" s="9" t="str">
        <f t="shared" ca="1" si="14"/>
        <v/>
      </c>
      <c r="B78" s="6"/>
      <c r="C78" s="6"/>
      <c r="D78" s="6"/>
      <c r="E78" s="11"/>
      <c r="F78" s="11"/>
      <c r="G78" s="7"/>
      <c r="H78" s="21"/>
      <c r="I78" s="24" t="str">
        <f t="shared" si="19"/>
        <v/>
      </c>
      <c r="J78" s="25" t="str">
        <f t="shared" ca="1" si="20"/>
        <v/>
      </c>
      <c r="K78" s="22" t="str">
        <f t="shared" si="21"/>
        <v/>
      </c>
      <c r="L78" s="23" t="str">
        <f t="shared" ca="1" si="15"/>
        <v/>
      </c>
      <c r="M78" s="7"/>
      <c r="N78" s="10" t="str">
        <f t="shared" si="16"/>
        <v/>
      </c>
      <c r="O78" s="7"/>
      <c r="P78" s="12" t="str">
        <f t="shared" si="22"/>
        <v/>
      </c>
      <c r="Q78" s="13" t="str">
        <f t="shared" si="23"/>
        <v/>
      </c>
      <c r="R78" s="10" t="str">
        <f t="shared" si="17"/>
        <v/>
      </c>
      <c r="S78" s="7" t="s">
        <v>9</v>
      </c>
      <c r="T78" s="10" t="str">
        <f t="shared" si="18"/>
        <v/>
      </c>
      <c r="U78" s="7" t="s">
        <v>9</v>
      </c>
    </row>
    <row r="79" spans="1:21" s="2" customFormat="1" ht="12" customHeight="1" x14ac:dyDescent="0.4">
      <c r="A79" s="9" t="str">
        <f t="shared" ca="1" si="14"/>
        <v/>
      </c>
      <c r="B79" s="6"/>
      <c r="C79" s="6"/>
      <c r="D79" s="6"/>
      <c r="E79" s="11"/>
      <c r="F79" s="11"/>
      <c r="G79" s="7"/>
      <c r="H79" s="21"/>
      <c r="I79" s="24" t="str">
        <f t="shared" si="19"/>
        <v/>
      </c>
      <c r="J79" s="25" t="str">
        <f t="shared" ca="1" si="20"/>
        <v/>
      </c>
      <c r="K79" s="22" t="str">
        <f t="shared" si="21"/>
        <v/>
      </c>
      <c r="L79" s="23" t="str">
        <f t="shared" ca="1" si="15"/>
        <v/>
      </c>
      <c r="M79" s="7"/>
      <c r="N79" s="10" t="str">
        <f t="shared" si="16"/>
        <v/>
      </c>
      <c r="O79" s="7"/>
      <c r="P79" s="12" t="str">
        <f t="shared" si="22"/>
        <v/>
      </c>
      <c r="Q79" s="13" t="str">
        <f t="shared" si="23"/>
        <v/>
      </c>
      <c r="R79" s="10" t="str">
        <f t="shared" si="17"/>
        <v/>
      </c>
      <c r="S79" s="7" t="s">
        <v>9</v>
      </c>
      <c r="T79" s="10" t="str">
        <f t="shared" si="18"/>
        <v/>
      </c>
      <c r="U79" s="7" t="s">
        <v>9</v>
      </c>
    </row>
    <row r="80" spans="1:21" s="2" customFormat="1" ht="12" customHeight="1" x14ac:dyDescent="0.4">
      <c r="A80" s="9" t="str">
        <f t="shared" ca="1" si="14"/>
        <v/>
      </c>
      <c r="B80" s="6"/>
      <c r="C80" s="6"/>
      <c r="D80" s="6"/>
      <c r="E80" s="11"/>
      <c r="F80" s="11"/>
      <c r="G80" s="7"/>
      <c r="H80" s="21"/>
      <c r="I80" s="24" t="str">
        <f t="shared" si="19"/>
        <v/>
      </c>
      <c r="J80" s="25" t="str">
        <f t="shared" ca="1" si="20"/>
        <v/>
      </c>
      <c r="K80" s="22" t="str">
        <f t="shared" si="21"/>
        <v/>
      </c>
      <c r="L80" s="23" t="str">
        <f t="shared" ca="1" si="15"/>
        <v/>
      </c>
      <c r="M80" s="7"/>
      <c r="N80" s="10" t="str">
        <f t="shared" si="16"/>
        <v/>
      </c>
      <c r="O80" s="7"/>
      <c r="P80" s="12" t="str">
        <f t="shared" si="22"/>
        <v/>
      </c>
      <c r="Q80" s="13" t="str">
        <f t="shared" si="23"/>
        <v/>
      </c>
      <c r="R80" s="10" t="str">
        <f t="shared" si="17"/>
        <v/>
      </c>
      <c r="S80" s="7" t="s">
        <v>9</v>
      </c>
      <c r="T80" s="10" t="str">
        <f t="shared" si="18"/>
        <v/>
      </c>
      <c r="U80" s="7" t="s">
        <v>9</v>
      </c>
    </row>
    <row r="81" spans="1:21" s="2" customFormat="1" ht="12" customHeight="1" x14ac:dyDescent="0.4">
      <c r="A81" s="9" t="str">
        <f t="shared" ca="1" si="14"/>
        <v/>
      </c>
      <c r="B81" s="6"/>
      <c r="C81" s="6"/>
      <c r="D81" s="6"/>
      <c r="E81" s="11"/>
      <c r="F81" s="11"/>
      <c r="G81" s="7"/>
      <c r="H81" s="21"/>
      <c r="I81" s="24" t="str">
        <f t="shared" si="19"/>
        <v/>
      </c>
      <c r="J81" s="25" t="str">
        <f t="shared" ca="1" si="20"/>
        <v/>
      </c>
      <c r="K81" s="22" t="str">
        <f t="shared" si="21"/>
        <v/>
      </c>
      <c r="L81" s="23" t="str">
        <f t="shared" ca="1" si="15"/>
        <v/>
      </c>
      <c r="M81" s="7"/>
      <c r="N81" s="10" t="str">
        <f t="shared" si="16"/>
        <v/>
      </c>
      <c r="O81" s="7"/>
      <c r="P81" s="12" t="str">
        <f t="shared" si="22"/>
        <v/>
      </c>
      <c r="Q81" s="13" t="str">
        <f t="shared" si="23"/>
        <v/>
      </c>
      <c r="R81" s="10" t="str">
        <f t="shared" si="17"/>
        <v/>
      </c>
      <c r="S81" s="7" t="s">
        <v>9</v>
      </c>
      <c r="T81" s="10" t="str">
        <f t="shared" si="18"/>
        <v/>
      </c>
      <c r="U81" s="7" t="s">
        <v>9</v>
      </c>
    </row>
    <row r="82" spans="1:21" s="2" customFormat="1" ht="12" customHeight="1" x14ac:dyDescent="0.4">
      <c r="A82" s="9" t="str">
        <f t="shared" ca="1" si="14"/>
        <v/>
      </c>
      <c r="B82" s="6"/>
      <c r="C82" s="6"/>
      <c r="D82" s="6"/>
      <c r="E82" s="11"/>
      <c r="F82" s="11"/>
      <c r="G82" s="7"/>
      <c r="H82" s="21"/>
      <c r="I82" s="24" t="str">
        <f t="shared" si="19"/>
        <v/>
      </c>
      <c r="J82" s="25" t="str">
        <f t="shared" ca="1" si="20"/>
        <v/>
      </c>
      <c r="K82" s="22" t="str">
        <f t="shared" si="21"/>
        <v/>
      </c>
      <c r="L82" s="23" t="str">
        <f t="shared" ca="1" si="15"/>
        <v/>
      </c>
      <c r="M82" s="7"/>
      <c r="N82" s="10" t="str">
        <f t="shared" si="16"/>
        <v/>
      </c>
      <c r="O82" s="7"/>
      <c r="P82" s="12" t="str">
        <f t="shared" si="22"/>
        <v/>
      </c>
      <c r="Q82" s="13" t="str">
        <f t="shared" si="23"/>
        <v/>
      </c>
      <c r="R82" s="10" t="str">
        <f t="shared" si="17"/>
        <v/>
      </c>
      <c r="S82" s="7" t="s">
        <v>9</v>
      </c>
      <c r="T82" s="10" t="str">
        <f t="shared" si="18"/>
        <v/>
      </c>
      <c r="U82" s="7" t="s">
        <v>9</v>
      </c>
    </row>
    <row r="83" spans="1:21" s="2" customFormat="1" ht="12" customHeight="1" x14ac:dyDescent="0.4">
      <c r="A83" s="9" t="str">
        <f t="shared" ca="1" si="14"/>
        <v/>
      </c>
      <c r="B83" s="6"/>
      <c r="C83" s="6"/>
      <c r="D83" s="6"/>
      <c r="E83" s="11"/>
      <c r="F83" s="11"/>
      <c r="G83" s="7"/>
      <c r="H83" s="21"/>
      <c r="I83" s="24" t="str">
        <f t="shared" si="19"/>
        <v/>
      </c>
      <c r="J83" s="25" t="str">
        <f t="shared" ca="1" si="20"/>
        <v/>
      </c>
      <c r="K83" s="22" t="str">
        <f t="shared" si="21"/>
        <v/>
      </c>
      <c r="L83" s="23" t="str">
        <f t="shared" ca="1" si="15"/>
        <v/>
      </c>
      <c r="M83" s="7"/>
      <c r="N83" s="10" t="str">
        <f t="shared" si="16"/>
        <v/>
      </c>
      <c r="O83" s="7"/>
      <c r="P83" s="12" t="str">
        <f t="shared" si="22"/>
        <v/>
      </c>
      <c r="Q83" s="13" t="str">
        <f t="shared" si="23"/>
        <v/>
      </c>
      <c r="R83" s="10" t="str">
        <f t="shared" si="17"/>
        <v/>
      </c>
      <c r="S83" s="7" t="s">
        <v>9</v>
      </c>
      <c r="T83" s="10" t="str">
        <f t="shared" si="18"/>
        <v/>
      </c>
      <c r="U83" s="7" t="s">
        <v>9</v>
      </c>
    </row>
    <row r="84" spans="1:21" s="2" customFormat="1" ht="12" customHeight="1" x14ac:dyDescent="0.4">
      <c r="A84" s="9" t="str">
        <f t="shared" ca="1" si="14"/>
        <v/>
      </c>
      <c r="B84" s="6"/>
      <c r="C84" s="6"/>
      <c r="D84" s="6"/>
      <c r="E84" s="11"/>
      <c r="F84" s="11"/>
      <c r="G84" s="7"/>
      <c r="H84" s="21"/>
      <c r="I84" s="24" t="str">
        <f t="shared" si="19"/>
        <v/>
      </c>
      <c r="J84" s="25" t="str">
        <f t="shared" ca="1" si="20"/>
        <v/>
      </c>
      <c r="K84" s="22" t="str">
        <f t="shared" si="21"/>
        <v/>
      </c>
      <c r="L84" s="23" t="str">
        <f t="shared" ca="1" si="15"/>
        <v/>
      </c>
      <c r="M84" s="7"/>
      <c r="N84" s="10" t="str">
        <f t="shared" si="16"/>
        <v/>
      </c>
      <c r="O84" s="7"/>
      <c r="P84" s="12" t="str">
        <f t="shared" si="22"/>
        <v/>
      </c>
      <c r="Q84" s="13" t="str">
        <f t="shared" si="23"/>
        <v/>
      </c>
      <c r="R84" s="10" t="str">
        <f t="shared" si="17"/>
        <v/>
      </c>
      <c r="S84" s="7" t="s">
        <v>9</v>
      </c>
      <c r="T84" s="10" t="str">
        <f t="shared" si="18"/>
        <v/>
      </c>
      <c r="U84" s="7" t="s">
        <v>9</v>
      </c>
    </row>
    <row r="85" spans="1:21" s="2" customFormat="1" ht="12" customHeight="1" x14ac:dyDescent="0.4">
      <c r="A85" s="9" t="str">
        <f t="shared" ca="1" si="14"/>
        <v/>
      </c>
      <c r="B85" s="6"/>
      <c r="C85" s="6"/>
      <c r="D85" s="6"/>
      <c r="E85" s="11"/>
      <c r="F85" s="11"/>
      <c r="G85" s="7"/>
      <c r="H85" s="21"/>
      <c r="I85" s="24" t="str">
        <f t="shared" si="19"/>
        <v/>
      </c>
      <c r="J85" s="25" t="str">
        <f t="shared" ca="1" si="20"/>
        <v/>
      </c>
      <c r="K85" s="22" t="str">
        <f t="shared" si="21"/>
        <v/>
      </c>
      <c r="L85" s="23" t="str">
        <f t="shared" ca="1" si="15"/>
        <v/>
      </c>
      <c r="M85" s="7"/>
      <c r="N85" s="10" t="str">
        <f t="shared" si="16"/>
        <v/>
      </c>
      <c r="O85" s="7"/>
      <c r="P85" s="12" t="str">
        <f t="shared" si="22"/>
        <v/>
      </c>
      <c r="Q85" s="13" t="str">
        <f t="shared" si="23"/>
        <v/>
      </c>
      <c r="R85" s="10" t="str">
        <f t="shared" si="17"/>
        <v/>
      </c>
      <c r="S85" s="7" t="s">
        <v>9</v>
      </c>
      <c r="T85" s="10" t="str">
        <f t="shared" si="18"/>
        <v/>
      </c>
      <c r="U85" s="7" t="s">
        <v>9</v>
      </c>
    </row>
    <row r="86" spans="1:21" s="2" customFormat="1" ht="12" customHeight="1" x14ac:dyDescent="0.4">
      <c r="A86" s="9" t="str">
        <f t="shared" ca="1" si="14"/>
        <v/>
      </c>
      <c r="B86" s="6"/>
      <c r="C86" s="6"/>
      <c r="D86" s="6"/>
      <c r="E86" s="11"/>
      <c r="F86" s="11"/>
      <c r="G86" s="7"/>
      <c r="H86" s="21"/>
      <c r="I86" s="24" t="str">
        <f t="shared" si="19"/>
        <v/>
      </c>
      <c r="J86" s="25" t="str">
        <f t="shared" ca="1" si="20"/>
        <v/>
      </c>
      <c r="K86" s="22" t="str">
        <f t="shared" si="21"/>
        <v/>
      </c>
      <c r="L86" s="23" t="str">
        <f t="shared" ca="1" si="15"/>
        <v/>
      </c>
      <c r="M86" s="7"/>
      <c r="N86" s="10" t="str">
        <f t="shared" si="16"/>
        <v/>
      </c>
      <c r="O86" s="7"/>
      <c r="P86" s="12" t="str">
        <f t="shared" si="22"/>
        <v/>
      </c>
      <c r="Q86" s="13" t="str">
        <f t="shared" si="23"/>
        <v/>
      </c>
      <c r="R86" s="10" t="str">
        <f t="shared" si="17"/>
        <v/>
      </c>
      <c r="S86" s="7" t="s">
        <v>9</v>
      </c>
      <c r="T86" s="10" t="str">
        <f t="shared" si="18"/>
        <v/>
      </c>
      <c r="U86" s="7" t="s">
        <v>9</v>
      </c>
    </row>
    <row r="87" spans="1:21" s="2" customFormat="1" ht="12" customHeight="1" x14ac:dyDescent="0.4">
      <c r="A87" s="9" t="str">
        <f t="shared" ca="1" si="14"/>
        <v/>
      </c>
      <c r="B87" s="6"/>
      <c r="C87" s="6"/>
      <c r="D87" s="6"/>
      <c r="E87" s="11"/>
      <c r="F87" s="11"/>
      <c r="G87" s="7"/>
      <c r="H87" s="21"/>
      <c r="I87" s="24" t="str">
        <f t="shared" si="19"/>
        <v/>
      </c>
      <c r="J87" s="25" t="str">
        <f t="shared" ca="1" si="20"/>
        <v/>
      </c>
      <c r="K87" s="22" t="str">
        <f t="shared" si="21"/>
        <v/>
      </c>
      <c r="L87" s="23" t="str">
        <f t="shared" ca="1" si="15"/>
        <v/>
      </c>
      <c r="M87" s="7"/>
      <c r="N87" s="10" t="str">
        <f t="shared" si="16"/>
        <v/>
      </c>
      <c r="O87" s="7"/>
      <c r="P87" s="12" t="str">
        <f t="shared" si="22"/>
        <v/>
      </c>
      <c r="Q87" s="13" t="str">
        <f t="shared" si="23"/>
        <v/>
      </c>
      <c r="R87" s="10" t="str">
        <f t="shared" si="17"/>
        <v/>
      </c>
      <c r="S87" s="7" t="s">
        <v>9</v>
      </c>
      <c r="T87" s="10" t="str">
        <f t="shared" si="18"/>
        <v/>
      </c>
      <c r="U87" s="7" t="s">
        <v>9</v>
      </c>
    </row>
    <row r="88" spans="1:21" s="2" customFormat="1" ht="12" customHeight="1" x14ac:dyDescent="0.4">
      <c r="A88" s="9" t="str">
        <f t="shared" ca="1" si="14"/>
        <v/>
      </c>
      <c r="B88" s="6"/>
      <c r="C88" s="6"/>
      <c r="D88" s="6"/>
      <c r="E88" s="11"/>
      <c r="F88" s="11"/>
      <c r="G88" s="7"/>
      <c r="H88" s="21"/>
      <c r="I88" s="24" t="str">
        <f t="shared" si="19"/>
        <v/>
      </c>
      <c r="J88" s="25" t="str">
        <f t="shared" ca="1" si="20"/>
        <v/>
      </c>
      <c r="K88" s="22" t="str">
        <f t="shared" si="21"/>
        <v/>
      </c>
      <c r="L88" s="23" t="str">
        <f t="shared" ca="1" si="15"/>
        <v/>
      </c>
      <c r="M88" s="7"/>
      <c r="N88" s="10" t="str">
        <f t="shared" si="16"/>
        <v/>
      </c>
      <c r="O88" s="7"/>
      <c r="P88" s="12" t="str">
        <f t="shared" si="22"/>
        <v/>
      </c>
      <c r="Q88" s="13" t="str">
        <f t="shared" si="23"/>
        <v/>
      </c>
      <c r="R88" s="10" t="str">
        <f t="shared" si="17"/>
        <v/>
      </c>
      <c r="S88" s="7" t="s">
        <v>9</v>
      </c>
      <c r="T88" s="10" t="str">
        <f t="shared" si="18"/>
        <v/>
      </c>
      <c r="U88" s="7" t="s">
        <v>9</v>
      </c>
    </row>
    <row r="89" spans="1:21" s="2" customFormat="1" ht="12" customHeight="1" x14ac:dyDescent="0.4">
      <c r="A89" s="9" t="str">
        <f t="shared" ca="1" si="14"/>
        <v/>
      </c>
      <c r="B89" s="6"/>
      <c r="C89" s="6"/>
      <c r="D89" s="6"/>
      <c r="E89" s="11"/>
      <c r="F89" s="11"/>
      <c r="G89" s="7"/>
      <c r="H89" s="21"/>
      <c r="I89" s="24" t="str">
        <f t="shared" si="19"/>
        <v/>
      </c>
      <c r="J89" s="25" t="str">
        <f t="shared" ca="1" si="20"/>
        <v/>
      </c>
      <c r="K89" s="22" t="str">
        <f t="shared" si="21"/>
        <v/>
      </c>
      <c r="L89" s="23" t="str">
        <f t="shared" ca="1" si="15"/>
        <v/>
      </c>
      <c r="M89" s="7"/>
      <c r="N89" s="10" t="str">
        <f t="shared" si="16"/>
        <v/>
      </c>
      <c r="O89" s="7"/>
      <c r="P89" s="12" t="str">
        <f t="shared" si="22"/>
        <v/>
      </c>
      <c r="Q89" s="13" t="str">
        <f t="shared" si="23"/>
        <v/>
      </c>
      <c r="R89" s="10" t="str">
        <f t="shared" si="17"/>
        <v/>
      </c>
      <c r="S89" s="7" t="s">
        <v>9</v>
      </c>
      <c r="T89" s="10" t="str">
        <f t="shared" si="18"/>
        <v/>
      </c>
      <c r="U89" s="7" t="s">
        <v>9</v>
      </c>
    </row>
    <row r="90" spans="1:21" s="2" customFormat="1" ht="12" customHeight="1" x14ac:dyDescent="0.4">
      <c r="A90" s="9" t="str">
        <f t="shared" ca="1" si="14"/>
        <v/>
      </c>
      <c r="B90" s="6"/>
      <c r="C90" s="6"/>
      <c r="D90" s="6"/>
      <c r="E90" s="11"/>
      <c r="F90" s="11"/>
      <c r="G90" s="7"/>
      <c r="H90" s="21"/>
      <c r="I90" s="24" t="str">
        <f t="shared" si="19"/>
        <v/>
      </c>
      <c r="J90" s="25" t="str">
        <f t="shared" ca="1" si="20"/>
        <v/>
      </c>
      <c r="K90" s="22" t="str">
        <f t="shared" si="21"/>
        <v/>
      </c>
      <c r="L90" s="23" t="str">
        <f t="shared" ca="1" si="15"/>
        <v/>
      </c>
      <c r="M90" s="7"/>
      <c r="N90" s="10" t="str">
        <f t="shared" si="16"/>
        <v/>
      </c>
      <c r="O90" s="7"/>
      <c r="P90" s="12" t="str">
        <f t="shared" si="22"/>
        <v/>
      </c>
      <c r="Q90" s="13" t="str">
        <f t="shared" si="23"/>
        <v/>
      </c>
      <c r="R90" s="10" t="str">
        <f t="shared" si="17"/>
        <v/>
      </c>
      <c r="S90" s="7" t="s">
        <v>9</v>
      </c>
      <c r="T90" s="10" t="str">
        <f t="shared" si="18"/>
        <v/>
      </c>
      <c r="U90" s="7" t="s">
        <v>9</v>
      </c>
    </row>
    <row r="91" spans="1:21" s="2" customFormat="1" ht="12" customHeight="1" x14ac:dyDescent="0.4">
      <c r="A91" s="9" t="str">
        <f t="shared" ca="1" si="14"/>
        <v/>
      </c>
      <c r="B91" s="6"/>
      <c r="C91" s="6"/>
      <c r="D91" s="6"/>
      <c r="E91" s="11"/>
      <c r="F91" s="11"/>
      <c r="G91" s="7"/>
      <c r="H91" s="21"/>
      <c r="I91" s="24" t="str">
        <f t="shared" si="19"/>
        <v/>
      </c>
      <c r="J91" s="25" t="str">
        <f t="shared" ca="1" si="20"/>
        <v/>
      </c>
      <c r="K91" s="22" t="str">
        <f t="shared" si="21"/>
        <v/>
      </c>
      <c r="L91" s="23" t="str">
        <f t="shared" ca="1" si="15"/>
        <v/>
      </c>
      <c r="M91" s="7"/>
      <c r="N91" s="10" t="str">
        <f t="shared" si="16"/>
        <v/>
      </c>
      <c r="O91" s="7"/>
      <c r="P91" s="12" t="str">
        <f t="shared" si="22"/>
        <v/>
      </c>
      <c r="Q91" s="13" t="str">
        <f t="shared" si="23"/>
        <v/>
      </c>
      <c r="R91" s="10" t="str">
        <f t="shared" si="17"/>
        <v/>
      </c>
      <c r="S91" s="7" t="s">
        <v>9</v>
      </c>
      <c r="T91" s="10" t="str">
        <f t="shared" si="18"/>
        <v/>
      </c>
      <c r="U91" s="7" t="s">
        <v>9</v>
      </c>
    </row>
    <row r="92" spans="1:21" s="2" customFormat="1" ht="12" customHeight="1" x14ac:dyDescent="0.4">
      <c r="A92" s="9" t="str">
        <f t="shared" ca="1" si="14"/>
        <v/>
      </c>
      <c r="B92" s="6"/>
      <c r="C92" s="6"/>
      <c r="D92" s="6"/>
      <c r="E92" s="11"/>
      <c r="F92" s="11"/>
      <c r="G92" s="7"/>
      <c r="H92" s="21"/>
      <c r="I92" s="24" t="str">
        <f t="shared" si="19"/>
        <v/>
      </c>
      <c r="J92" s="25" t="str">
        <f t="shared" ca="1" si="20"/>
        <v/>
      </c>
      <c r="K92" s="22" t="str">
        <f t="shared" si="21"/>
        <v/>
      </c>
      <c r="L92" s="23" t="str">
        <f t="shared" ca="1" si="15"/>
        <v/>
      </c>
      <c r="M92" s="7"/>
      <c r="N92" s="10" t="str">
        <f t="shared" si="16"/>
        <v/>
      </c>
      <c r="O92" s="7"/>
      <c r="P92" s="12" t="str">
        <f t="shared" si="22"/>
        <v/>
      </c>
      <c r="Q92" s="13" t="str">
        <f t="shared" si="23"/>
        <v/>
      </c>
      <c r="R92" s="10" t="str">
        <f t="shared" si="17"/>
        <v/>
      </c>
      <c r="S92" s="7" t="s">
        <v>9</v>
      </c>
      <c r="T92" s="10" t="str">
        <f t="shared" si="18"/>
        <v/>
      </c>
      <c r="U92" s="7" t="s">
        <v>9</v>
      </c>
    </row>
    <row r="93" spans="1:21" s="2" customFormat="1" ht="12" customHeight="1" x14ac:dyDescent="0.4">
      <c r="A93" s="9" t="str">
        <f t="shared" ca="1" si="14"/>
        <v/>
      </c>
      <c r="B93" s="6"/>
      <c r="C93" s="6"/>
      <c r="D93" s="6"/>
      <c r="E93" s="11"/>
      <c r="F93" s="11"/>
      <c r="G93" s="7"/>
      <c r="H93" s="21"/>
      <c r="I93" s="24" t="str">
        <f t="shared" si="19"/>
        <v/>
      </c>
      <c r="J93" s="25" t="str">
        <f t="shared" ca="1" si="20"/>
        <v/>
      </c>
      <c r="K93" s="22" t="str">
        <f t="shared" si="21"/>
        <v/>
      </c>
      <c r="L93" s="23" t="str">
        <f t="shared" ca="1" si="15"/>
        <v/>
      </c>
      <c r="M93" s="7"/>
      <c r="N93" s="10" t="str">
        <f t="shared" si="16"/>
        <v/>
      </c>
      <c r="O93" s="7"/>
      <c r="P93" s="12" t="str">
        <f t="shared" si="22"/>
        <v/>
      </c>
      <c r="Q93" s="13" t="str">
        <f t="shared" si="23"/>
        <v/>
      </c>
      <c r="R93" s="10" t="str">
        <f t="shared" si="17"/>
        <v/>
      </c>
      <c r="S93" s="7" t="s">
        <v>9</v>
      </c>
      <c r="T93" s="10" t="str">
        <f t="shared" si="18"/>
        <v/>
      </c>
      <c r="U93" s="7" t="s">
        <v>9</v>
      </c>
    </row>
    <row r="94" spans="1:21" s="2" customFormat="1" ht="12" customHeight="1" x14ac:dyDescent="0.4">
      <c r="A94" s="9" t="str">
        <f t="shared" ca="1" si="14"/>
        <v/>
      </c>
      <c r="B94" s="6"/>
      <c r="C94" s="6"/>
      <c r="D94" s="6"/>
      <c r="E94" s="11"/>
      <c r="F94" s="11"/>
      <c r="G94" s="7"/>
      <c r="H94" s="21"/>
      <c r="I94" s="24" t="str">
        <f t="shared" si="19"/>
        <v/>
      </c>
      <c r="J94" s="25" t="str">
        <f t="shared" ca="1" si="20"/>
        <v/>
      </c>
      <c r="K94" s="22" t="str">
        <f t="shared" si="21"/>
        <v/>
      </c>
      <c r="L94" s="23" t="str">
        <f t="shared" ca="1" si="15"/>
        <v/>
      </c>
      <c r="M94" s="7"/>
      <c r="N94" s="10" t="str">
        <f t="shared" si="16"/>
        <v/>
      </c>
      <c r="O94" s="7"/>
      <c r="P94" s="12" t="str">
        <f t="shared" si="22"/>
        <v/>
      </c>
      <c r="Q94" s="13" t="str">
        <f t="shared" si="23"/>
        <v/>
      </c>
      <c r="R94" s="10" t="str">
        <f t="shared" si="17"/>
        <v/>
      </c>
      <c r="S94" s="7" t="s">
        <v>9</v>
      </c>
      <c r="T94" s="10" t="str">
        <f t="shared" si="18"/>
        <v/>
      </c>
      <c r="U94" s="7" t="s">
        <v>9</v>
      </c>
    </row>
    <row r="95" spans="1:21" s="2" customFormat="1" ht="12" customHeight="1" x14ac:dyDescent="0.4">
      <c r="A95" s="9" t="str">
        <f t="shared" ca="1" si="14"/>
        <v/>
      </c>
      <c r="B95" s="6"/>
      <c r="C95" s="6"/>
      <c r="D95" s="6"/>
      <c r="E95" s="11"/>
      <c r="F95" s="11"/>
      <c r="G95" s="7"/>
      <c r="H95" s="21"/>
      <c r="I95" s="24" t="str">
        <f t="shared" si="19"/>
        <v/>
      </c>
      <c r="J95" s="25" t="str">
        <f t="shared" ca="1" si="20"/>
        <v/>
      </c>
      <c r="K95" s="22" t="str">
        <f t="shared" si="21"/>
        <v/>
      </c>
      <c r="L95" s="23" t="str">
        <f t="shared" ca="1" si="15"/>
        <v/>
      </c>
      <c r="M95" s="7"/>
      <c r="N95" s="10" t="str">
        <f t="shared" si="16"/>
        <v/>
      </c>
      <c r="O95" s="7"/>
      <c r="P95" s="12" t="str">
        <f t="shared" si="22"/>
        <v/>
      </c>
      <c r="Q95" s="13" t="str">
        <f t="shared" si="23"/>
        <v/>
      </c>
      <c r="R95" s="10" t="str">
        <f t="shared" si="17"/>
        <v/>
      </c>
      <c r="S95" s="7" t="s">
        <v>9</v>
      </c>
      <c r="T95" s="10" t="str">
        <f t="shared" si="18"/>
        <v/>
      </c>
      <c r="U95" s="7" t="s">
        <v>9</v>
      </c>
    </row>
    <row r="96" spans="1:21" s="2" customFormat="1" ht="12" customHeight="1" x14ac:dyDescent="0.4">
      <c r="A96" s="9" t="str">
        <f t="shared" ca="1" si="14"/>
        <v/>
      </c>
      <c r="B96" s="6"/>
      <c r="C96" s="6"/>
      <c r="D96" s="6"/>
      <c r="E96" s="11"/>
      <c r="F96" s="11"/>
      <c r="G96" s="7"/>
      <c r="H96" s="21"/>
      <c r="I96" s="24" t="str">
        <f t="shared" si="19"/>
        <v/>
      </c>
      <c r="J96" s="25" t="str">
        <f t="shared" ca="1" si="20"/>
        <v/>
      </c>
      <c r="K96" s="22" t="str">
        <f t="shared" si="21"/>
        <v/>
      </c>
      <c r="L96" s="23" t="str">
        <f t="shared" ca="1" si="15"/>
        <v/>
      </c>
      <c r="M96" s="7"/>
      <c r="N96" s="10" t="str">
        <f t="shared" si="16"/>
        <v/>
      </c>
      <c r="O96" s="7"/>
      <c r="P96" s="12" t="str">
        <f t="shared" si="22"/>
        <v/>
      </c>
      <c r="Q96" s="13" t="str">
        <f t="shared" si="23"/>
        <v/>
      </c>
      <c r="R96" s="10" t="str">
        <f t="shared" si="17"/>
        <v/>
      </c>
      <c r="S96" s="7" t="s">
        <v>9</v>
      </c>
      <c r="T96" s="10" t="str">
        <f t="shared" si="18"/>
        <v/>
      </c>
      <c r="U96" s="7" t="s">
        <v>9</v>
      </c>
    </row>
    <row r="97" spans="1:21" s="2" customFormat="1" ht="12" customHeight="1" x14ac:dyDescent="0.4">
      <c r="A97" s="9" t="str">
        <f t="shared" ca="1" si="14"/>
        <v/>
      </c>
      <c r="B97" s="6"/>
      <c r="C97" s="6"/>
      <c r="D97" s="6"/>
      <c r="E97" s="11"/>
      <c r="F97" s="11"/>
      <c r="G97" s="7"/>
      <c r="H97" s="21"/>
      <c r="I97" s="24" t="str">
        <f t="shared" si="19"/>
        <v/>
      </c>
      <c r="J97" s="25" t="str">
        <f t="shared" ca="1" si="20"/>
        <v/>
      </c>
      <c r="K97" s="22" t="str">
        <f t="shared" si="21"/>
        <v/>
      </c>
      <c r="L97" s="23" t="str">
        <f t="shared" ca="1" si="15"/>
        <v/>
      </c>
      <c r="M97" s="7"/>
      <c r="N97" s="10" t="str">
        <f t="shared" si="16"/>
        <v/>
      </c>
      <c r="O97" s="7"/>
      <c r="P97" s="12" t="str">
        <f t="shared" si="22"/>
        <v/>
      </c>
      <c r="Q97" s="13" t="str">
        <f t="shared" si="23"/>
        <v/>
      </c>
      <c r="R97" s="10" t="str">
        <f t="shared" si="17"/>
        <v/>
      </c>
      <c r="S97" s="7" t="s">
        <v>9</v>
      </c>
      <c r="T97" s="10" t="str">
        <f t="shared" si="18"/>
        <v/>
      </c>
      <c r="U97" s="7" t="s">
        <v>9</v>
      </c>
    </row>
    <row r="98" spans="1:21" s="2" customFormat="1" ht="12" customHeight="1" x14ac:dyDescent="0.4">
      <c r="A98" s="9" t="str">
        <f t="shared" ca="1" si="14"/>
        <v/>
      </c>
      <c r="B98" s="6"/>
      <c r="C98" s="6"/>
      <c r="D98" s="6"/>
      <c r="E98" s="11"/>
      <c r="F98" s="11"/>
      <c r="G98" s="7"/>
      <c r="H98" s="21"/>
      <c r="I98" s="24" t="str">
        <f t="shared" si="19"/>
        <v/>
      </c>
      <c r="J98" s="25" t="str">
        <f t="shared" ca="1" si="20"/>
        <v/>
      </c>
      <c r="K98" s="22" t="str">
        <f t="shared" si="21"/>
        <v/>
      </c>
      <c r="L98" s="23" t="str">
        <f t="shared" ca="1" si="15"/>
        <v/>
      </c>
      <c r="M98" s="7"/>
      <c r="N98" s="10" t="str">
        <f t="shared" si="16"/>
        <v/>
      </c>
      <c r="O98" s="7"/>
      <c r="P98" s="12" t="str">
        <f t="shared" si="22"/>
        <v/>
      </c>
      <c r="Q98" s="13" t="str">
        <f t="shared" si="23"/>
        <v/>
      </c>
      <c r="R98" s="10" t="str">
        <f t="shared" si="17"/>
        <v/>
      </c>
      <c r="S98" s="7" t="s">
        <v>9</v>
      </c>
      <c r="T98" s="10" t="str">
        <f t="shared" si="18"/>
        <v/>
      </c>
      <c r="U98" s="7" t="s">
        <v>9</v>
      </c>
    </row>
    <row r="99" spans="1:21" s="2" customFormat="1" ht="12" customHeight="1" x14ac:dyDescent="0.4">
      <c r="A99" s="9" t="str">
        <f t="shared" ref="A99:A130" ca="1" si="24">IF(
    OR(
        $B99="",
        OFFSET($B99,-1,0)=""
    ),
    "",
    IF(
        OFFSET($B99,-1,0)=$B$2,
        1,
        OFFSET($A99,-1,0)+1
    )
)</f>
        <v/>
      </c>
      <c r="B99" s="6"/>
      <c r="C99" s="6"/>
      <c r="D99" s="6"/>
      <c r="E99" s="11"/>
      <c r="F99" s="11"/>
      <c r="G99" s="7"/>
      <c r="H99" s="21"/>
      <c r="I99" s="24" t="str">
        <f t="shared" si="19"/>
        <v/>
      </c>
      <c r="J99" s="25" t="str">
        <f t="shared" ca="1" si="20"/>
        <v/>
      </c>
      <c r="K99" s="22" t="str">
        <f t="shared" si="21"/>
        <v/>
      </c>
      <c r="L99" s="23" t="str">
        <f t="shared" ca="1" si="15"/>
        <v/>
      </c>
      <c r="M99" s="7"/>
      <c r="N99" s="10" t="str">
        <f t="shared" ref="N99:N130" si="25">IF(
    B99="",
    "",
    K99&amp;CHAR(9)&amp;L99&amp;CHAR(9)&amp;"L"&amp;TEXT($A99,"000")
)</f>
        <v/>
      </c>
      <c r="O99" s="7"/>
      <c r="P99" s="12" t="str">
        <f t="shared" si="22"/>
        <v/>
      </c>
      <c r="Q99" s="13" t="str">
        <f t="shared" si="23"/>
        <v/>
      </c>
      <c r="R99" s="10" t="str">
        <f t="shared" ref="R99:R130" si="26">IF(
    B99="",
    "",
    SUBSTITUTE($C99,"-","－")&amp;" - "&amp;
    SUBSTITUTE($B99,"-","－")&amp;" - "&amp;
    $I99
)</f>
        <v/>
      </c>
      <c r="S99" s="7" t="s">
        <v>9</v>
      </c>
      <c r="T99" s="10" t="str">
        <f t="shared" ref="T99:T130" si="27">IF(
    B99="",
    "",
    TEXT($A99,"00 ")&amp;B99&amp;CHAR(9)&amp;
    B99&amp;CHAR(9)&amp;
    C99&amp;CHAR(9)&amp;
    "Tatsuya Endo"&amp;CHAR(9)&amp;
    D99&amp;CHAR(9)&amp;
    A99&amp;CHAR(9)&amp;
    E99&amp;CHAR(9)&amp;
    F99&amp;CHAR(9)&amp;
    REPT(CHAR(9),9)
)</f>
        <v/>
      </c>
      <c r="U99" s="7" t="s">
        <v>9</v>
      </c>
    </row>
    <row r="100" spans="1:21" s="2" customFormat="1" ht="12" customHeight="1" x14ac:dyDescent="0.4">
      <c r="A100" s="9" t="str">
        <f t="shared" ca="1" si="24"/>
        <v/>
      </c>
      <c r="B100" s="6"/>
      <c r="C100" s="6"/>
      <c r="D100" s="6"/>
      <c r="E100" s="11"/>
      <c r="F100" s="11"/>
      <c r="G100" s="7"/>
      <c r="H100" s="21"/>
      <c r="I100" s="24" t="str">
        <f t="shared" si="19"/>
        <v/>
      </c>
      <c r="J100" s="25" t="str">
        <f t="shared" ca="1" si="20"/>
        <v/>
      </c>
      <c r="K100" s="22" t="str">
        <f t="shared" si="21"/>
        <v/>
      </c>
      <c r="L100" s="23" t="str">
        <f t="shared" ca="1" si="15"/>
        <v/>
      </c>
      <c r="M100" s="7"/>
      <c r="N100" s="10" t="str">
        <f t="shared" si="25"/>
        <v/>
      </c>
      <c r="O100" s="7"/>
      <c r="P100" s="12" t="str">
        <f t="shared" si="22"/>
        <v/>
      </c>
      <c r="Q100" s="13" t="str">
        <f t="shared" si="23"/>
        <v/>
      </c>
      <c r="R100" s="10" t="str">
        <f t="shared" si="26"/>
        <v/>
      </c>
      <c r="S100" s="7" t="s">
        <v>9</v>
      </c>
      <c r="T100" s="10" t="str">
        <f t="shared" si="27"/>
        <v/>
      </c>
      <c r="U100" s="7" t="s">
        <v>9</v>
      </c>
    </row>
    <row r="101" spans="1:21" s="2" customFormat="1" ht="12" customHeight="1" x14ac:dyDescent="0.4">
      <c r="A101" s="9" t="str">
        <f t="shared" ca="1" si="24"/>
        <v/>
      </c>
      <c r="B101" s="6"/>
      <c r="C101" s="6"/>
      <c r="D101" s="6"/>
      <c r="E101" s="11"/>
      <c r="F101" s="11"/>
      <c r="G101" s="7"/>
      <c r="H101" s="21"/>
      <c r="I101" s="24" t="str">
        <f t="shared" si="19"/>
        <v/>
      </c>
      <c r="J101" s="25" t="str">
        <f t="shared" ca="1" si="20"/>
        <v/>
      </c>
      <c r="K101" s="22" t="str">
        <f t="shared" si="21"/>
        <v/>
      </c>
      <c r="L101" s="23" t="str">
        <f t="shared" ca="1" si="15"/>
        <v/>
      </c>
      <c r="M101" s="7"/>
      <c r="N101" s="10" t="str">
        <f t="shared" si="25"/>
        <v/>
      </c>
      <c r="O101" s="7"/>
      <c r="P101" s="12" t="str">
        <f t="shared" si="22"/>
        <v/>
      </c>
      <c r="Q101" s="13" t="str">
        <f t="shared" si="23"/>
        <v/>
      </c>
      <c r="R101" s="10" t="str">
        <f t="shared" si="26"/>
        <v/>
      </c>
      <c r="S101" s="7" t="s">
        <v>9</v>
      </c>
      <c r="T101" s="10" t="str">
        <f t="shared" si="27"/>
        <v/>
      </c>
      <c r="U101" s="7" t="s">
        <v>9</v>
      </c>
    </row>
    <row r="102" spans="1:21" s="2" customFormat="1" ht="12" customHeight="1" x14ac:dyDescent="0.4">
      <c r="A102" s="9" t="str">
        <f t="shared" ca="1" si="24"/>
        <v/>
      </c>
      <c r="B102" s="6"/>
      <c r="C102" s="6"/>
      <c r="D102" s="6"/>
      <c r="E102" s="11"/>
      <c r="F102" s="11"/>
      <c r="G102" s="7"/>
      <c r="H102" s="21"/>
      <c r="I102" s="24" t="str">
        <f t="shared" si="19"/>
        <v/>
      </c>
      <c r="J102" s="25" t="str">
        <f t="shared" ca="1" si="20"/>
        <v/>
      </c>
      <c r="K102" s="22" t="str">
        <f t="shared" si="21"/>
        <v/>
      </c>
      <c r="L102" s="23" t="str">
        <f t="shared" ca="1" si="15"/>
        <v/>
      </c>
      <c r="M102" s="7"/>
      <c r="N102" s="10" t="str">
        <f t="shared" si="25"/>
        <v/>
      </c>
      <c r="O102" s="7"/>
      <c r="P102" s="12" t="str">
        <f t="shared" si="22"/>
        <v/>
      </c>
      <c r="Q102" s="13" t="str">
        <f t="shared" si="23"/>
        <v/>
      </c>
      <c r="R102" s="10" t="str">
        <f t="shared" si="26"/>
        <v/>
      </c>
      <c r="S102" s="7" t="s">
        <v>9</v>
      </c>
      <c r="T102" s="10" t="str">
        <f t="shared" si="27"/>
        <v/>
      </c>
      <c r="U102" s="7" t="s">
        <v>9</v>
      </c>
    </row>
    <row r="103" spans="1:21" s="2" customFormat="1" ht="12" customHeight="1" x14ac:dyDescent="0.4">
      <c r="A103" s="9" t="str">
        <f t="shared" ca="1" si="24"/>
        <v/>
      </c>
      <c r="B103" s="6"/>
      <c r="C103" s="6"/>
      <c r="D103" s="6"/>
      <c r="E103" s="11"/>
      <c r="F103" s="11"/>
      <c r="G103" s="7"/>
      <c r="H103" s="21"/>
      <c r="I103" s="24" t="str">
        <f t="shared" si="19"/>
        <v/>
      </c>
      <c r="J103" s="25" t="str">
        <f t="shared" ca="1" si="20"/>
        <v/>
      </c>
      <c r="K103" s="22" t="str">
        <f t="shared" si="21"/>
        <v/>
      </c>
      <c r="L103" s="23" t="str">
        <f t="shared" ca="1" si="15"/>
        <v/>
      </c>
      <c r="M103" s="7"/>
      <c r="N103" s="10" t="str">
        <f t="shared" si="25"/>
        <v/>
      </c>
      <c r="O103" s="7"/>
      <c r="P103" s="12" t="str">
        <f t="shared" si="22"/>
        <v/>
      </c>
      <c r="Q103" s="13" t="str">
        <f t="shared" si="23"/>
        <v/>
      </c>
      <c r="R103" s="10" t="str">
        <f t="shared" si="26"/>
        <v/>
      </c>
      <c r="S103" s="7" t="s">
        <v>9</v>
      </c>
      <c r="T103" s="10" t="str">
        <f t="shared" si="27"/>
        <v/>
      </c>
      <c r="U103" s="7" t="s">
        <v>9</v>
      </c>
    </row>
    <row r="104" spans="1:21" s="2" customFormat="1" ht="12" customHeight="1" x14ac:dyDescent="0.4">
      <c r="A104" s="9" t="str">
        <f t="shared" ca="1" si="24"/>
        <v/>
      </c>
      <c r="B104" s="6"/>
      <c r="C104" s="6"/>
      <c r="D104" s="6"/>
      <c r="E104" s="11"/>
      <c r="F104" s="11"/>
      <c r="G104" s="7"/>
      <c r="H104" s="21"/>
      <c r="I104" s="24" t="str">
        <f t="shared" si="19"/>
        <v/>
      </c>
      <c r="J104" s="25" t="str">
        <f t="shared" ca="1" si="20"/>
        <v/>
      </c>
      <c r="K104" s="22" t="str">
        <f t="shared" si="21"/>
        <v/>
      </c>
      <c r="L104" s="23" t="str">
        <f t="shared" ca="1" si="15"/>
        <v/>
      </c>
      <c r="M104" s="7"/>
      <c r="N104" s="10" t="str">
        <f t="shared" si="25"/>
        <v/>
      </c>
      <c r="O104" s="7"/>
      <c r="P104" s="12" t="str">
        <f t="shared" si="22"/>
        <v/>
      </c>
      <c r="Q104" s="13" t="str">
        <f t="shared" si="23"/>
        <v/>
      </c>
      <c r="R104" s="10" t="str">
        <f t="shared" si="26"/>
        <v/>
      </c>
      <c r="S104" s="7" t="s">
        <v>9</v>
      </c>
      <c r="T104" s="10" t="str">
        <f t="shared" si="27"/>
        <v/>
      </c>
      <c r="U104" s="7" t="s">
        <v>9</v>
      </c>
    </row>
    <row r="105" spans="1:21" s="2" customFormat="1" ht="12" customHeight="1" x14ac:dyDescent="0.4">
      <c r="A105" s="9" t="str">
        <f t="shared" ca="1" si="24"/>
        <v/>
      </c>
      <c r="B105" s="6"/>
      <c r="C105" s="6"/>
      <c r="D105" s="6"/>
      <c r="E105" s="11"/>
      <c r="F105" s="11"/>
      <c r="G105" s="7"/>
      <c r="H105" s="21"/>
      <c r="I105" s="24" t="str">
        <f t="shared" si="19"/>
        <v/>
      </c>
      <c r="J105" s="25" t="str">
        <f t="shared" ca="1" si="20"/>
        <v/>
      </c>
      <c r="K105" s="22" t="str">
        <f t="shared" si="21"/>
        <v/>
      </c>
      <c r="L105" s="23" t="str">
        <f t="shared" ca="1" si="15"/>
        <v/>
      </c>
      <c r="M105" s="7"/>
      <c r="N105" s="10" t="str">
        <f t="shared" si="25"/>
        <v/>
      </c>
      <c r="O105" s="7"/>
      <c r="P105" s="12" t="str">
        <f t="shared" si="22"/>
        <v/>
      </c>
      <c r="Q105" s="13" t="str">
        <f t="shared" si="23"/>
        <v/>
      </c>
      <c r="R105" s="10" t="str">
        <f t="shared" si="26"/>
        <v/>
      </c>
      <c r="S105" s="7" t="s">
        <v>9</v>
      </c>
      <c r="T105" s="10" t="str">
        <f t="shared" si="27"/>
        <v/>
      </c>
      <c r="U105" s="7" t="s">
        <v>9</v>
      </c>
    </row>
    <row r="106" spans="1:21" s="2" customFormat="1" ht="12" customHeight="1" x14ac:dyDescent="0.4">
      <c r="A106" s="9" t="str">
        <f t="shared" ca="1" si="24"/>
        <v/>
      </c>
      <c r="B106" s="6"/>
      <c r="C106" s="6"/>
      <c r="D106" s="6"/>
      <c r="E106" s="11"/>
      <c r="F106" s="11"/>
      <c r="G106" s="7"/>
      <c r="H106" s="21"/>
      <c r="I106" s="24" t="str">
        <f t="shared" si="19"/>
        <v/>
      </c>
      <c r="J106" s="25" t="str">
        <f t="shared" ca="1" si="20"/>
        <v/>
      </c>
      <c r="K106" s="22" t="str">
        <f t="shared" si="21"/>
        <v/>
      </c>
      <c r="L106" s="23" t="str">
        <f t="shared" ca="1" si="15"/>
        <v/>
      </c>
      <c r="M106" s="7"/>
      <c r="N106" s="10" t="str">
        <f t="shared" si="25"/>
        <v/>
      </c>
      <c r="O106" s="7"/>
      <c r="P106" s="12" t="str">
        <f t="shared" si="22"/>
        <v/>
      </c>
      <c r="Q106" s="13" t="str">
        <f t="shared" si="23"/>
        <v/>
      </c>
      <c r="R106" s="10" t="str">
        <f t="shared" si="26"/>
        <v/>
      </c>
      <c r="S106" s="7" t="s">
        <v>9</v>
      </c>
      <c r="T106" s="10" t="str">
        <f t="shared" si="27"/>
        <v/>
      </c>
      <c r="U106" s="7" t="s">
        <v>9</v>
      </c>
    </row>
    <row r="107" spans="1:21" s="2" customFormat="1" ht="12" customHeight="1" x14ac:dyDescent="0.4">
      <c r="A107" s="9" t="str">
        <f t="shared" ca="1" si="24"/>
        <v/>
      </c>
      <c r="B107" s="6"/>
      <c r="C107" s="6"/>
      <c r="D107" s="6"/>
      <c r="E107" s="11"/>
      <c r="F107" s="11"/>
      <c r="G107" s="7"/>
      <c r="H107" s="21"/>
      <c r="I107" s="24" t="str">
        <f t="shared" si="19"/>
        <v/>
      </c>
      <c r="J107" s="25" t="str">
        <f t="shared" ca="1" si="20"/>
        <v/>
      </c>
      <c r="K107" s="22" t="str">
        <f t="shared" si="21"/>
        <v/>
      </c>
      <c r="L107" s="23" t="str">
        <f t="shared" ca="1" si="15"/>
        <v/>
      </c>
      <c r="M107" s="7"/>
      <c r="N107" s="10" t="str">
        <f t="shared" si="25"/>
        <v/>
      </c>
      <c r="O107" s="7"/>
      <c r="P107" s="12" t="str">
        <f t="shared" si="22"/>
        <v/>
      </c>
      <c r="Q107" s="13" t="str">
        <f t="shared" si="23"/>
        <v/>
      </c>
      <c r="R107" s="10" t="str">
        <f t="shared" si="26"/>
        <v/>
      </c>
      <c r="S107" s="7" t="s">
        <v>9</v>
      </c>
      <c r="T107" s="10" t="str">
        <f t="shared" si="27"/>
        <v/>
      </c>
      <c r="U107" s="7" t="s">
        <v>9</v>
      </c>
    </row>
    <row r="108" spans="1:21" s="2" customFormat="1" ht="12" customHeight="1" x14ac:dyDescent="0.4">
      <c r="A108" s="9" t="str">
        <f t="shared" ca="1" si="24"/>
        <v/>
      </c>
      <c r="B108" s="6"/>
      <c r="C108" s="6"/>
      <c r="D108" s="6"/>
      <c r="E108" s="11"/>
      <c r="F108" s="11"/>
      <c r="G108" s="7"/>
      <c r="H108" s="21"/>
      <c r="I108" s="24" t="str">
        <f t="shared" si="19"/>
        <v/>
      </c>
      <c r="J108" s="25" t="str">
        <f t="shared" ca="1" si="20"/>
        <v/>
      </c>
      <c r="K108" s="22" t="str">
        <f t="shared" si="21"/>
        <v/>
      </c>
      <c r="L108" s="23" t="str">
        <f t="shared" ca="1" si="15"/>
        <v/>
      </c>
      <c r="M108" s="7"/>
      <c r="N108" s="10" t="str">
        <f t="shared" si="25"/>
        <v/>
      </c>
      <c r="O108" s="7"/>
      <c r="P108" s="12" t="str">
        <f t="shared" si="22"/>
        <v/>
      </c>
      <c r="Q108" s="13" t="str">
        <f t="shared" si="23"/>
        <v/>
      </c>
      <c r="R108" s="10" t="str">
        <f t="shared" si="26"/>
        <v/>
      </c>
      <c r="S108" s="7" t="s">
        <v>9</v>
      </c>
      <c r="T108" s="10" t="str">
        <f t="shared" si="27"/>
        <v/>
      </c>
      <c r="U108" s="7" t="s">
        <v>9</v>
      </c>
    </row>
    <row r="109" spans="1:21" s="2" customFormat="1" ht="12" customHeight="1" x14ac:dyDescent="0.4">
      <c r="A109" s="9" t="str">
        <f t="shared" ca="1" si="24"/>
        <v/>
      </c>
      <c r="B109" s="6"/>
      <c r="C109" s="6"/>
      <c r="D109" s="6"/>
      <c r="E109" s="11"/>
      <c r="F109" s="11"/>
      <c r="G109" s="7"/>
      <c r="H109" s="21"/>
      <c r="I109" s="24" t="str">
        <f t="shared" si="19"/>
        <v/>
      </c>
      <c r="J109" s="25" t="str">
        <f t="shared" ca="1" si="20"/>
        <v/>
      </c>
      <c r="K109" s="22" t="str">
        <f t="shared" si="21"/>
        <v/>
      </c>
      <c r="L109" s="23" t="str">
        <f t="shared" ca="1" si="15"/>
        <v/>
      </c>
      <c r="M109" s="7"/>
      <c r="N109" s="10" t="str">
        <f t="shared" si="25"/>
        <v/>
      </c>
      <c r="O109" s="7"/>
      <c r="P109" s="12" t="str">
        <f t="shared" si="22"/>
        <v/>
      </c>
      <c r="Q109" s="13" t="str">
        <f t="shared" si="23"/>
        <v/>
      </c>
      <c r="R109" s="10" t="str">
        <f t="shared" si="26"/>
        <v/>
      </c>
      <c r="S109" s="7" t="s">
        <v>9</v>
      </c>
      <c r="T109" s="10" t="str">
        <f t="shared" si="27"/>
        <v/>
      </c>
      <c r="U109" s="7" t="s">
        <v>9</v>
      </c>
    </row>
    <row r="110" spans="1:21" s="2" customFormat="1" ht="12" customHeight="1" x14ac:dyDescent="0.4">
      <c r="A110" s="9" t="str">
        <f t="shared" ca="1" si="24"/>
        <v/>
      </c>
      <c r="B110" s="6"/>
      <c r="C110" s="6"/>
      <c r="D110" s="6"/>
      <c r="E110" s="11"/>
      <c r="F110" s="11"/>
      <c r="G110" s="7"/>
      <c r="H110" s="21"/>
      <c r="I110" s="24" t="str">
        <f t="shared" si="19"/>
        <v/>
      </c>
      <c r="J110" s="25" t="str">
        <f t="shared" ca="1" si="20"/>
        <v/>
      </c>
      <c r="K110" s="22" t="str">
        <f t="shared" si="21"/>
        <v/>
      </c>
      <c r="L110" s="23" t="str">
        <f t="shared" ca="1" si="15"/>
        <v/>
      </c>
      <c r="M110" s="7"/>
      <c r="N110" s="10" t="str">
        <f t="shared" si="25"/>
        <v/>
      </c>
      <c r="O110" s="7"/>
      <c r="P110" s="12" t="str">
        <f t="shared" si="22"/>
        <v/>
      </c>
      <c r="Q110" s="13" t="str">
        <f t="shared" si="23"/>
        <v/>
      </c>
      <c r="R110" s="10" t="str">
        <f t="shared" si="26"/>
        <v/>
      </c>
      <c r="S110" s="7" t="s">
        <v>9</v>
      </c>
      <c r="T110" s="10" t="str">
        <f t="shared" si="27"/>
        <v/>
      </c>
      <c r="U110" s="7" t="s">
        <v>9</v>
      </c>
    </row>
    <row r="111" spans="1:21" s="2" customFormat="1" ht="12" customHeight="1" x14ac:dyDescent="0.4">
      <c r="A111" s="9" t="str">
        <f t="shared" ca="1" si="24"/>
        <v/>
      </c>
      <c r="B111" s="6"/>
      <c r="C111" s="6"/>
      <c r="D111" s="6"/>
      <c r="E111" s="11"/>
      <c r="F111" s="11"/>
      <c r="G111" s="7"/>
      <c r="H111" s="21"/>
      <c r="I111" s="24" t="str">
        <f t="shared" si="19"/>
        <v/>
      </c>
      <c r="J111" s="25" t="str">
        <f t="shared" ca="1" si="20"/>
        <v/>
      </c>
      <c r="K111" s="22" t="str">
        <f t="shared" si="21"/>
        <v/>
      </c>
      <c r="L111" s="23" t="str">
        <f t="shared" ca="1" si="15"/>
        <v/>
      </c>
      <c r="M111" s="7"/>
      <c r="N111" s="10" t="str">
        <f t="shared" si="25"/>
        <v/>
      </c>
      <c r="O111" s="7"/>
      <c r="P111" s="12" t="str">
        <f t="shared" si="22"/>
        <v/>
      </c>
      <c r="Q111" s="13" t="str">
        <f t="shared" si="23"/>
        <v/>
      </c>
      <c r="R111" s="10" t="str">
        <f t="shared" si="26"/>
        <v/>
      </c>
      <c r="S111" s="7" t="s">
        <v>9</v>
      </c>
      <c r="T111" s="10" t="str">
        <f t="shared" si="27"/>
        <v/>
      </c>
      <c r="U111" s="7" t="s">
        <v>9</v>
      </c>
    </row>
    <row r="112" spans="1:21" s="2" customFormat="1" ht="12" customHeight="1" x14ac:dyDescent="0.4">
      <c r="A112" s="9" t="str">
        <f t="shared" ca="1" si="24"/>
        <v/>
      </c>
      <c r="B112" s="6"/>
      <c r="C112" s="6"/>
      <c r="D112" s="6"/>
      <c r="E112" s="11"/>
      <c r="F112" s="11"/>
      <c r="G112" s="7"/>
      <c r="H112" s="21"/>
      <c r="I112" s="24" t="str">
        <f t="shared" si="19"/>
        <v/>
      </c>
      <c r="J112" s="25" t="str">
        <f t="shared" ca="1" si="20"/>
        <v/>
      </c>
      <c r="K112" s="22" t="str">
        <f t="shared" si="21"/>
        <v/>
      </c>
      <c r="L112" s="23" t="str">
        <f t="shared" ca="1" si="15"/>
        <v/>
      </c>
      <c r="M112" s="7"/>
      <c r="N112" s="10" t="str">
        <f t="shared" si="25"/>
        <v/>
      </c>
      <c r="O112" s="7"/>
      <c r="P112" s="12" t="str">
        <f t="shared" si="22"/>
        <v/>
      </c>
      <c r="Q112" s="13" t="str">
        <f t="shared" si="23"/>
        <v/>
      </c>
      <c r="R112" s="10" t="str">
        <f t="shared" si="26"/>
        <v/>
      </c>
      <c r="S112" s="7" t="s">
        <v>9</v>
      </c>
      <c r="T112" s="10" t="str">
        <f t="shared" si="27"/>
        <v/>
      </c>
      <c r="U112" s="7" t="s">
        <v>9</v>
      </c>
    </row>
    <row r="113" spans="1:21" s="2" customFormat="1" ht="12" customHeight="1" x14ac:dyDescent="0.4">
      <c r="A113" s="9" t="str">
        <f t="shared" ca="1" si="24"/>
        <v/>
      </c>
      <c r="B113" s="6"/>
      <c r="C113" s="6"/>
      <c r="D113" s="6"/>
      <c r="E113" s="11"/>
      <c r="F113" s="11"/>
      <c r="G113" s="7"/>
      <c r="H113" s="21"/>
      <c r="I113" s="24" t="str">
        <f t="shared" si="19"/>
        <v/>
      </c>
      <c r="J113" s="25" t="str">
        <f t="shared" ca="1" si="20"/>
        <v/>
      </c>
      <c r="K113" s="22" t="str">
        <f t="shared" si="21"/>
        <v/>
      </c>
      <c r="L113" s="23" t="str">
        <f t="shared" ca="1" si="15"/>
        <v/>
      </c>
      <c r="M113" s="7"/>
      <c r="N113" s="10" t="str">
        <f t="shared" si="25"/>
        <v/>
      </c>
      <c r="O113" s="7"/>
      <c r="P113" s="12" t="str">
        <f t="shared" si="22"/>
        <v/>
      </c>
      <c r="Q113" s="13" t="str">
        <f t="shared" si="23"/>
        <v/>
      </c>
      <c r="R113" s="10" t="str">
        <f t="shared" si="26"/>
        <v/>
      </c>
      <c r="S113" s="7" t="s">
        <v>9</v>
      </c>
      <c r="T113" s="10" t="str">
        <f t="shared" si="27"/>
        <v/>
      </c>
      <c r="U113" s="7" t="s">
        <v>9</v>
      </c>
    </row>
    <row r="114" spans="1:21" s="2" customFormat="1" ht="12" customHeight="1" x14ac:dyDescent="0.4">
      <c r="A114" s="9" t="str">
        <f t="shared" ca="1" si="24"/>
        <v/>
      </c>
      <c r="B114" s="6"/>
      <c r="C114" s="6"/>
      <c r="D114" s="6"/>
      <c r="E114" s="11"/>
      <c r="F114" s="11"/>
      <c r="G114" s="7"/>
      <c r="H114" s="21"/>
      <c r="I114" s="24" t="str">
        <f t="shared" si="19"/>
        <v/>
      </c>
      <c r="J114" s="25" t="str">
        <f t="shared" ca="1" si="20"/>
        <v/>
      </c>
      <c r="K114" s="22" t="str">
        <f t="shared" si="21"/>
        <v/>
      </c>
      <c r="L114" s="23" t="str">
        <f t="shared" ca="1" si="15"/>
        <v/>
      </c>
      <c r="M114" s="7"/>
      <c r="N114" s="10" t="str">
        <f t="shared" si="25"/>
        <v/>
      </c>
      <c r="O114" s="7"/>
      <c r="P114" s="12" t="str">
        <f t="shared" si="22"/>
        <v/>
      </c>
      <c r="Q114" s="13" t="str">
        <f t="shared" si="23"/>
        <v/>
      </c>
      <c r="R114" s="10" t="str">
        <f t="shared" si="26"/>
        <v/>
      </c>
      <c r="S114" s="7" t="s">
        <v>9</v>
      </c>
      <c r="T114" s="10" t="str">
        <f t="shared" si="27"/>
        <v/>
      </c>
      <c r="U114" s="7" t="s">
        <v>9</v>
      </c>
    </row>
    <row r="115" spans="1:21" s="2" customFormat="1" ht="12" customHeight="1" x14ac:dyDescent="0.4">
      <c r="A115" s="9" t="str">
        <f t="shared" ca="1" si="24"/>
        <v/>
      </c>
      <c r="B115" s="6"/>
      <c r="C115" s="6"/>
      <c r="D115" s="6"/>
      <c r="E115" s="11"/>
      <c r="F115" s="11"/>
      <c r="G115" s="7"/>
      <c r="H115" s="21"/>
      <c r="I115" s="24" t="str">
        <f t="shared" si="19"/>
        <v/>
      </c>
      <c r="J115" s="25" t="str">
        <f t="shared" ca="1" si="20"/>
        <v/>
      </c>
      <c r="K115" s="22" t="str">
        <f t="shared" si="21"/>
        <v/>
      </c>
      <c r="L115" s="23" t="str">
        <f t="shared" ca="1" si="15"/>
        <v/>
      </c>
      <c r="M115" s="7"/>
      <c r="N115" s="10" t="str">
        <f t="shared" si="25"/>
        <v/>
      </c>
      <c r="O115" s="7"/>
      <c r="P115" s="12" t="str">
        <f t="shared" si="22"/>
        <v/>
      </c>
      <c r="Q115" s="13" t="str">
        <f t="shared" si="23"/>
        <v/>
      </c>
      <c r="R115" s="10" t="str">
        <f t="shared" si="26"/>
        <v/>
      </c>
      <c r="S115" s="7" t="s">
        <v>9</v>
      </c>
      <c r="T115" s="10" t="str">
        <f t="shared" si="27"/>
        <v/>
      </c>
      <c r="U115" s="7" t="s">
        <v>9</v>
      </c>
    </row>
    <row r="116" spans="1:21" s="2" customFormat="1" ht="12" customHeight="1" x14ac:dyDescent="0.4">
      <c r="A116" s="9" t="str">
        <f t="shared" ca="1" si="24"/>
        <v/>
      </c>
      <c r="B116" s="6"/>
      <c r="C116" s="6"/>
      <c r="D116" s="6"/>
      <c r="E116" s="11"/>
      <c r="F116" s="11"/>
      <c r="G116" s="7"/>
      <c r="H116" s="21"/>
      <c r="I116" s="24" t="str">
        <f t="shared" si="19"/>
        <v/>
      </c>
      <c r="J116" s="25" t="str">
        <f t="shared" ca="1" si="20"/>
        <v/>
      </c>
      <c r="K116" s="22" t="str">
        <f t="shared" si="21"/>
        <v/>
      </c>
      <c r="L116" s="23" t="str">
        <f t="shared" ca="1" si="15"/>
        <v/>
      </c>
      <c r="M116" s="7"/>
      <c r="N116" s="10" t="str">
        <f t="shared" si="25"/>
        <v/>
      </c>
      <c r="O116" s="7"/>
      <c r="P116" s="12" t="str">
        <f t="shared" si="22"/>
        <v/>
      </c>
      <c r="Q116" s="13" t="str">
        <f t="shared" si="23"/>
        <v/>
      </c>
      <c r="R116" s="10" t="str">
        <f t="shared" si="26"/>
        <v/>
      </c>
      <c r="S116" s="7" t="s">
        <v>9</v>
      </c>
      <c r="T116" s="10" t="str">
        <f t="shared" si="27"/>
        <v/>
      </c>
      <c r="U116" s="7" t="s">
        <v>9</v>
      </c>
    </row>
    <row r="117" spans="1:21" s="2" customFormat="1" ht="12" customHeight="1" x14ac:dyDescent="0.4">
      <c r="A117" s="9" t="str">
        <f t="shared" ca="1" si="24"/>
        <v/>
      </c>
      <c r="B117" s="6"/>
      <c r="C117" s="6"/>
      <c r="D117" s="6"/>
      <c r="E117" s="11"/>
      <c r="F117" s="11"/>
      <c r="G117" s="7"/>
      <c r="H117" s="21"/>
      <c r="I117" s="24" t="str">
        <f t="shared" si="19"/>
        <v/>
      </c>
      <c r="J117" s="25" t="str">
        <f t="shared" ca="1" si="20"/>
        <v/>
      </c>
      <c r="K117" s="22" t="str">
        <f t="shared" si="21"/>
        <v/>
      </c>
      <c r="L117" s="23" t="str">
        <f t="shared" ca="1" si="15"/>
        <v/>
      </c>
      <c r="M117" s="7"/>
      <c r="N117" s="10" t="str">
        <f t="shared" si="25"/>
        <v/>
      </c>
      <c r="O117" s="7"/>
      <c r="P117" s="12" t="str">
        <f t="shared" si="22"/>
        <v/>
      </c>
      <c r="Q117" s="13" t="str">
        <f t="shared" si="23"/>
        <v/>
      </c>
      <c r="R117" s="10" t="str">
        <f t="shared" si="26"/>
        <v/>
      </c>
      <c r="S117" s="7" t="s">
        <v>9</v>
      </c>
      <c r="T117" s="10" t="str">
        <f t="shared" si="27"/>
        <v/>
      </c>
      <c r="U117" s="7" t="s">
        <v>9</v>
      </c>
    </row>
    <row r="118" spans="1:21" s="2" customFormat="1" ht="12" customHeight="1" x14ac:dyDescent="0.4">
      <c r="A118" s="9" t="str">
        <f t="shared" ca="1" si="24"/>
        <v/>
      </c>
      <c r="B118" s="6"/>
      <c r="C118" s="6"/>
      <c r="D118" s="6"/>
      <c r="E118" s="11"/>
      <c r="F118" s="11"/>
      <c r="G118" s="7"/>
      <c r="H118" s="21"/>
      <c r="I118" s="24" t="str">
        <f t="shared" si="19"/>
        <v/>
      </c>
      <c r="J118" s="25" t="str">
        <f t="shared" ca="1" si="20"/>
        <v/>
      </c>
      <c r="K118" s="22" t="str">
        <f t="shared" si="21"/>
        <v/>
      </c>
      <c r="L118" s="23" t="str">
        <f t="shared" ca="1" si="15"/>
        <v/>
      </c>
      <c r="M118" s="7"/>
      <c r="N118" s="10" t="str">
        <f t="shared" si="25"/>
        <v/>
      </c>
      <c r="O118" s="7"/>
      <c r="P118" s="12" t="str">
        <f t="shared" si="22"/>
        <v/>
      </c>
      <c r="Q118" s="13" t="str">
        <f t="shared" si="23"/>
        <v/>
      </c>
      <c r="R118" s="10" t="str">
        <f t="shared" si="26"/>
        <v/>
      </c>
      <c r="S118" s="7" t="s">
        <v>9</v>
      </c>
      <c r="T118" s="10" t="str">
        <f t="shared" si="27"/>
        <v/>
      </c>
      <c r="U118" s="7" t="s">
        <v>9</v>
      </c>
    </row>
    <row r="119" spans="1:21" s="2" customFormat="1" ht="12" customHeight="1" x14ac:dyDescent="0.4">
      <c r="A119" s="9" t="str">
        <f t="shared" ca="1" si="24"/>
        <v/>
      </c>
      <c r="B119" s="6"/>
      <c r="C119" s="6"/>
      <c r="D119" s="6"/>
      <c r="E119" s="11"/>
      <c r="F119" s="11"/>
      <c r="G119" s="7"/>
      <c r="H119" s="21"/>
      <c r="I119" s="24" t="str">
        <f t="shared" si="19"/>
        <v/>
      </c>
      <c r="J119" s="25" t="str">
        <f t="shared" ca="1" si="20"/>
        <v/>
      </c>
      <c r="K119" s="22" t="str">
        <f t="shared" si="21"/>
        <v/>
      </c>
      <c r="L119" s="23" t="str">
        <f t="shared" ca="1" si="15"/>
        <v/>
      </c>
      <c r="M119" s="7"/>
      <c r="N119" s="10" t="str">
        <f t="shared" si="25"/>
        <v/>
      </c>
      <c r="O119" s="7"/>
      <c r="P119" s="12" t="str">
        <f t="shared" si="22"/>
        <v/>
      </c>
      <c r="Q119" s="13" t="str">
        <f t="shared" si="23"/>
        <v/>
      </c>
      <c r="R119" s="10" t="str">
        <f t="shared" si="26"/>
        <v/>
      </c>
      <c r="S119" s="7" t="s">
        <v>9</v>
      </c>
      <c r="T119" s="10" t="str">
        <f t="shared" si="27"/>
        <v/>
      </c>
      <c r="U119" s="7" t="s">
        <v>9</v>
      </c>
    </row>
    <row r="120" spans="1:21" s="2" customFormat="1" ht="12" customHeight="1" x14ac:dyDescent="0.4">
      <c r="A120" s="9" t="str">
        <f t="shared" ca="1" si="24"/>
        <v/>
      </c>
      <c r="B120" s="6"/>
      <c r="C120" s="6"/>
      <c r="D120" s="6"/>
      <c r="E120" s="11"/>
      <c r="F120" s="11"/>
      <c r="G120" s="7"/>
      <c r="H120" s="21"/>
      <c r="I120" s="24" t="str">
        <f t="shared" si="19"/>
        <v/>
      </c>
      <c r="J120" s="25" t="str">
        <f t="shared" ca="1" si="20"/>
        <v/>
      </c>
      <c r="K120" s="22" t="str">
        <f t="shared" si="21"/>
        <v/>
      </c>
      <c r="L120" s="23" t="str">
        <f t="shared" ca="1" si="15"/>
        <v/>
      </c>
      <c r="M120" s="7"/>
      <c r="N120" s="10" t="str">
        <f t="shared" si="25"/>
        <v/>
      </c>
      <c r="O120" s="7"/>
      <c r="P120" s="12" t="str">
        <f t="shared" si="22"/>
        <v/>
      </c>
      <c r="Q120" s="13" t="str">
        <f t="shared" si="23"/>
        <v/>
      </c>
      <c r="R120" s="10" t="str">
        <f t="shared" si="26"/>
        <v/>
      </c>
      <c r="S120" s="7" t="s">
        <v>9</v>
      </c>
      <c r="T120" s="10" t="str">
        <f t="shared" si="27"/>
        <v/>
      </c>
      <c r="U120" s="7" t="s">
        <v>9</v>
      </c>
    </row>
    <row r="121" spans="1:21" s="2" customFormat="1" ht="12" customHeight="1" x14ac:dyDescent="0.4">
      <c r="A121" s="9" t="str">
        <f t="shared" ca="1" si="24"/>
        <v/>
      </c>
      <c r="B121" s="6"/>
      <c r="C121" s="6"/>
      <c r="D121" s="6"/>
      <c r="E121" s="11"/>
      <c r="F121" s="11"/>
      <c r="G121" s="7"/>
      <c r="H121" s="21"/>
      <c r="I121" s="24" t="str">
        <f t="shared" si="19"/>
        <v/>
      </c>
      <c r="J121" s="25" t="str">
        <f t="shared" ca="1" si="20"/>
        <v/>
      </c>
      <c r="K121" s="22" t="str">
        <f t="shared" si="21"/>
        <v/>
      </c>
      <c r="L121" s="23" t="str">
        <f t="shared" ca="1" si="15"/>
        <v/>
      </c>
      <c r="M121" s="7"/>
      <c r="N121" s="10" t="str">
        <f t="shared" si="25"/>
        <v/>
      </c>
      <c r="O121" s="7"/>
      <c r="P121" s="12" t="str">
        <f t="shared" si="22"/>
        <v/>
      </c>
      <c r="Q121" s="13" t="str">
        <f t="shared" si="23"/>
        <v/>
      </c>
      <c r="R121" s="10" t="str">
        <f t="shared" si="26"/>
        <v/>
      </c>
      <c r="S121" s="7" t="s">
        <v>9</v>
      </c>
      <c r="T121" s="10" t="str">
        <f t="shared" si="27"/>
        <v/>
      </c>
      <c r="U121" s="7" t="s">
        <v>9</v>
      </c>
    </row>
    <row r="122" spans="1:21" s="2" customFormat="1" ht="12" customHeight="1" x14ac:dyDescent="0.4">
      <c r="A122" s="9" t="str">
        <f t="shared" ca="1" si="24"/>
        <v/>
      </c>
      <c r="B122" s="6"/>
      <c r="C122" s="6"/>
      <c r="D122" s="6"/>
      <c r="E122" s="11"/>
      <c r="F122" s="11"/>
      <c r="G122" s="7"/>
      <c r="H122" s="21"/>
      <c r="I122" s="24" t="str">
        <f t="shared" si="19"/>
        <v/>
      </c>
      <c r="J122" s="25" t="str">
        <f t="shared" ca="1" si="20"/>
        <v/>
      </c>
      <c r="K122" s="22" t="str">
        <f t="shared" si="21"/>
        <v/>
      </c>
      <c r="L122" s="23" t="str">
        <f t="shared" ca="1" si="15"/>
        <v/>
      </c>
      <c r="M122" s="7"/>
      <c r="N122" s="10" t="str">
        <f t="shared" si="25"/>
        <v/>
      </c>
      <c r="O122" s="7"/>
      <c r="P122" s="12" t="str">
        <f t="shared" si="22"/>
        <v/>
      </c>
      <c r="Q122" s="13" t="str">
        <f t="shared" si="23"/>
        <v/>
      </c>
      <c r="R122" s="10" t="str">
        <f t="shared" si="26"/>
        <v/>
      </c>
      <c r="S122" s="7" t="s">
        <v>9</v>
      </c>
      <c r="T122" s="10" t="str">
        <f t="shared" si="27"/>
        <v/>
      </c>
      <c r="U122" s="7" t="s">
        <v>9</v>
      </c>
    </row>
    <row r="123" spans="1:21" s="2" customFormat="1" ht="12" customHeight="1" x14ac:dyDescent="0.4">
      <c r="A123" s="9" t="str">
        <f t="shared" ca="1" si="24"/>
        <v/>
      </c>
      <c r="B123" s="6"/>
      <c r="C123" s="6"/>
      <c r="D123" s="6"/>
      <c r="E123" s="11"/>
      <c r="F123" s="11"/>
      <c r="G123" s="7"/>
      <c r="H123" s="21"/>
      <c r="I123" s="24" t="str">
        <f t="shared" si="19"/>
        <v/>
      </c>
      <c r="J123" s="25" t="str">
        <f t="shared" ca="1" si="20"/>
        <v/>
      </c>
      <c r="K123" s="22" t="str">
        <f t="shared" si="21"/>
        <v/>
      </c>
      <c r="L123" s="23" t="str">
        <f t="shared" ca="1" si="15"/>
        <v/>
      </c>
      <c r="M123" s="7"/>
      <c r="N123" s="10" t="str">
        <f t="shared" si="25"/>
        <v/>
      </c>
      <c r="O123" s="7"/>
      <c r="P123" s="12" t="str">
        <f t="shared" si="22"/>
        <v/>
      </c>
      <c r="Q123" s="13" t="str">
        <f t="shared" si="23"/>
        <v/>
      </c>
      <c r="R123" s="10" t="str">
        <f t="shared" si="26"/>
        <v/>
      </c>
      <c r="S123" s="7" t="s">
        <v>9</v>
      </c>
      <c r="T123" s="10" t="str">
        <f t="shared" si="27"/>
        <v/>
      </c>
      <c r="U123" s="7" t="s">
        <v>9</v>
      </c>
    </row>
    <row r="124" spans="1:21" s="2" customFormat="1" ht="12" customHeight="1" x14ac:dyDescent="0.4">
      <c r="A124" s="9" t="str">
        <f t="shared" ca="1" si="24"/>
        <v/>
      </c>
      <c r="B124" s="6"/>
      <c r="C124" s="6"/>
      <c r="D124" s="6"/>
      <c r="E124" s="11"/>
      <c r="F124" s="11"/>
      <c r="G124" s="7"/>
      <c r="H124" s="21"/>
      <c r="I124" s="24" t="str">
        <f t="shared" si="19"/>
        <v/>
      </c>
      <c r="J124" s="25" t="str">
        <f t="shared" ca="1" si="20"/>
        <v/>
      </c>
      <c r="K124" s="22" t="str">
        <f t="shared" si="21"/>
        <v/>
      </c>
      <c r="L124" s="23" t="str">
        <f t="shared" ca="1" si="15"/>
        <v/>
      </c>
      <c r="M124" s="7"/>
      <c r="N124" s="10" t="str">
        <f t="shared" si="25"/>
        <v/>
      </c>
      <c r="O124" s="7"/>
      <c r="P124" s="12" t="str">
        <f t="shared" si="22"/>
        <v/>
      </c>
      <c r="Q124" s="13" t="str">
        <f t="shared" si="23"/>
        <v/>
      </c>
      <c r="R124" s="10" t="str">
        <f t="shared" si="26"/>
        <v/>
      </c>
      <c r="S124" s="7" t="s">
        <v>9</v>
      </c>
      <c r="T124" s="10" t="str">
        <f t="shared" si="27"/>
        <v/>
      </c>
      <c r="U124" s="7" t="s">
        <v>9</v>
      </c>
    </row>
    <row r="125" spans="1:21" s="2" customFormat="1" ht="12" customHeight="1" x14ac:dyDescent="0.4">
      <c r="A125" s="9" t="str">
        <f t="shared" ca="1" si="24"/>
        <v/>
      </c>
      <c r="B125" s="6"/>
      <c r="C125" s="6"/>
      <c r="D125" s="6"/>
      <c r="E125" s="11"/>
      <c r="F125" s="11"/>
      <c r="G125" s="7"/>
      <c r="H125" s="21"/>
      <c r="I125" s="24" t="str">
        <f t="shared" si="19"/>
        <v/>
      </c>
      <c r="J125" s="25" t="str">
        <f t="shared" ca="1" si="20"/>
        <v/>
      </c>
      <c r="K125" s="22" t="str">
        <f t="shared" si="21"/>
        <v/>
      </c>
      <c r="L125" s="23" t="str">
        <f t="shared" ca="1" si="15"/>
        <v/>
      </c>
      <c r="M125" s="7"/>
      <c r="N125" s="10" t="str">
        <f t="shared" si="25"/>
        <v/>
      </c>
      <c r="O125" s="7"/>
      <c r="P125" s="12" t="str">
        <f t="shared" si="22"/>
        <v/>
      </c>
      <c r="Q125" s="13" t="str">
        <f t="shared" si="23"/>
        <v/>
      </c>
      <c r="R125" s="10" t="str">
        <f t="shared" si="26"/>
        <v/>
      </c>
      <c r="S125" s="7" t="s">
        <v>9</v>
      </c>
      <c r="T125" s="10" t="str">
        <f t="shared" si="27"/>
        <v/>
      </c>
      <c r="U125" s="7" t="s">
        <v>9</v>
      </c>
    </row>
    <row r="126" spans="1:21" s="2" customFormat="1" ht="12" customHeight="1" x14ac:dyDescent="0.4">
      <c r="A126" s="9" t="str">
        <f t="shared" ca="1" si="24"/>
        <v/>
      </c>
      <c r="B126" s="6"/>
      <c r="C126" s="6"/>
      <c r="D126" s="6"/>
      <c r="E126" s="11"/>
      <c r="F126" s="11"/>
      <c r="G126" s="7"/>
      <c r="H126" s="21"/>
      <c r="I126" s="24" t="str">
        <f t="shared" si="19"/>
        <v/>
      </c>
      <c r="J126" s="25" t="str">
        <f t="shared" ca="1" si="20"/>
        <v/>
      </c>
      <c r="K126" s="22" t="str">
        <f t="shared" si="21"/>
        <v/>
      </c>
      <c r="L126" s="23" t="str">
        <f t="shared" ca="1" si="15"/>
        <v/>
      </c>
      <c r="M126" s="7"/>
      <c r="N126" s="10" t="str">
        <f t="shared" si="25"/>
        <v/>
      </c>
      <c r="O126" s="7"/>
      <c r="P126" s="12" t="str">
        <f t="shared" si="22"/>
        <v/>
      </c>
      <c r="Q126" s="13" t="str">
        <f t="shared" si="23"/>
        <v/>
      </c>
      <c r="R126" s="10" t="str">
        <f t="shared" si="26"/>
        <v/>
      </c>
      <c r="S126" s="7" t="s">
        <v>9</v>
      </c>
      <c r="T126" s="10" t="str">
        <f t="shared" si="27"/>
        <v/>
      </c>
      <c r="U126" s="7" t="s">
        <v>9</v>
      </c>
    </row>
    <row r="127" spans="1:21" s="2" customFormat="1" ht="12" customHeight="1" x14ac:dyDescent="0.4">
      <c r="A127" s="9" t="str">
        <f t="shared" ca="1" si="24"/>
        <v/>
      </c>
      <c r="B127" s="6"/>
      <c r="C127" s="6"/>
      <c r="D127" s="6"/>
      <c r="E127" s="11"/>
      <c r="F127" s="11"/>
      <c r="G127" s="7"/>
      <c r="H127" s="21"/>
      <c r="I127" s="24" t="str">
        <f t="shared" si="19"/>
        <v/>
      </c>
      <c r="J127" s="25" t="str">
        <f t="shared" ca="1" si="20"/>
        <v/>
      </c>
      <c r="K127" s="22" t="str">
        <f t="shared" si="21"/>
        <v/>
      </c>
      <c r="L127" s="23" t="str">
        <f t="shared" ca="1" si="15"/>
        <v/>
      </c>
      <c r="M127" s="7"/>
      <c r="N127" s="10" t="str">
        <f t="shared" si="25"/>
        <v/>
      </c>
      <c r="O127" s="7"/>
      <c r="P127" s="12" t="str">
        <f t="shared" si="22"/>
        <v/>
      </c>
      <c r="Q127" s="13" t="str">
        <f t="shared" si="23"/>
        <v/>
      </c>
      <c r="R127" s="10" t="str">
        <f t="shared" si="26"/>
        <v/>
      </c>
      <c r="S127" s="7" t="s">
        <v>9</v>
      </c>
      <c r="T127" s="10" t="str">
        <f t="shared" si="27"/>
        <v/>
      </c>
      <c r="U127" s="7" t="s">
        <v>9</v>
      </c>
    </row>
    <row r="128" spans="1:21" s="2" customFormat="1" ht="12" customHeight="1" x14ac:dyDescent="0.4">
      <c r="A128" s="9" t="str">
        <f t="shared" ca="1" si="24"/>
        <v/>
      </c>
      <c r="B128" s="6"/>
      <c r="C128" s="6"/>
      <c r="D128" s="6"/>
      <c r="E128" s="11"/>
      <c r="F128" s="11"/>
      <c r="G128" s="7"/>
      <c r="H128" s="21"/>
      <c r="I128" s="24" t="str">
        <f t="shared" si="19"/>
        <v/>
      </c>
      <c r="J128" s="25" t="str">
        <f t="shared" ca="1" si="20"/>
        <v/>
      </c>
      <c r="K128" s="22" t="str">
        <f t="shared" si="21"/>
        <v/>
      </c>
      <c r="L128" s="23" t="str">
        <f t="shared" ca="1" si="15"/>
        <v/>
      </c>
      <c r="M128" s="7"/>
      <c r="N128" s="10" t="str">
        <f t="shared" si="25"/>
        <v/>
      </c>
      <c r="O128" s="7"/>
      <c r="P128" s="12" t="str">
        <f t="shared" si="22"/>
        <v/>
      </c>
      <c r="Q128" s="13" t="str">
        <f t="shared" si="23"/>
        <v/>
      </c>
      <c r="R128" s="10" t="str">
        <f t="shared" si="26"/>
        <v/>
      </c>
      <c r="S128" s="7" t="s">
        <v>9</v>
      </c>
      <c r="T128" s="10" t="str">
        <f t="shared" si="27"/>
        <v/>
      </c>
      <c r="U128" s="7" t="s">
        <v>9</v>
      </c>
    </row>
    <row r="129" spans="1:21" s="2" customFormat="1" ht="12" customHeight="1" x14ac:dyDescent="0.4">
      <c r="A129" s="9" t="str">
        <f t="shared" ca="1" si="24"/>
        <v/>
      </c>
      <c r="B129" s="6"/>
      <c r="C129" s="6"/>
      <c r="D129" s="6"/>
      <c r="E129" s="11"/>
      <c r="F129" s="11"/>
      <c r="G129" s="7"/>
      <c r="H129" s="21"/>
      <c r="I129" s="24" t="str">
        <f t="shared" si="19"/>
        <v/>
      </c>
      <c r="J129" s="25" t="str">
        <f t="shared" ca="1" si="20"/>
        <v/>
      </c>
      <c r="K129" s="22" t="str">
        <f t="shared" si="21"/>
        <v/>
      </c>
      <c r="L129" s="23" t="str">
        <f t="shared" ca="1" si="15"/>
        <v/>
      </c>
      <c r="M129" s="7"/>
      <c r="N129" s="10" t="str">
        <f t="shared" si="25"/>
        <v/>
      </c>
      <c r="O129" s="7"/>
      <c r="P129" s="12" t="str">
        <f t="shared" si="22"/>
        <v/>
      </c>
      <c r="Q129" s="13" t="str">
        <f t="shared" si="23"/>
        <v/>
      </c>
      <c r="R129" s="10" t="str">
        <f t="shared" si="26"/>
        <v/>
      </c>
      <c r="S129" s="7" t="s">
        <v>9</v>
      </c>
      <c r="T129" s="10" t="str">
        <f t="shared" si="27"/>
        <v/>
      </c>
      <c r="U129" s="7" t="s">
        <v>9</v>
      </c>
    </row>
    <row r="130" spans="1:21" s="2" customFormat="1" ht="12" customHeight="1" x14ac:dyDescent="0.4">
      <c r="A130" s="9" t="str">
        <f t="shared" ca="1" si="24"/>
        <v/>
      </c>
      <c r="B130" s="6"/>
      <c r="C130" s="6"/>
      <c r="D130" s="6"/>
      <c r="E130" s="11"/>
      <c r="F130" s="11"/>
      <c r="G130" s="7"/>
      <c r="H130" s="21"/>
      <c r="I130" s="24" t="str">
        <f t="shared" si="19"/>
        <v/>
      </c>
      <c r="J130" s="25" t="str">
        <f t="shared" ca="1" si="20"/>
        <v/>
      </c>
      <c r="K130" s="22" t="str">
        <f t="shared" si="21"/>
        <v/>
      </c>
      <c r="L130" s="23" t="str">
        <f t="shared" ca="1" si="15"/>
        <v/>
      </c>
      <c r="M130" s="7"/>
      <c r="N130" s="10" t="str">
        <f t="shared" si="25"/>
        <v/>
      </c>
      <c r="O130" s="7"/>
      <c r="P130" s="12" t="str">
        <f t="shared" si="22"/>
        <v/>
      </c>
      <c r="Q130" s="13" t="str">
        <f t="shared" si="23"/>
        <v/>
      </c>
      <c r="R130" s="10" t="str">
        <f t="shared" si="26"/>
        <v/>
      </c>
      <c r="S130" s="7" t="s">
        <v>9</v>
      </c>
      <c r="T130" s="10" t="str">
        <f t="shared" si="27"/>
        <v/>
      </c>
      <c r="U130" s="7" t="s">
        <v>9</v>
      </c>
    </row>
    <row r="131" spans="1:21" s="2" customFormat="1" ht="12" customHeight="1" x14ac:dyDescent="0.4">
      <c r="A131" s="9" t="str">
        <f t="shared" ref="A131:A162" ca="1" si="28">IF(
    OR(
        $B131="",
        OFFSET($B131,-1,0)=""
    ),
    "",
    IF(
        OFFSET($B131,-1,0)=$B$2,
        1,
        OFFSET($A131,-1,0)+1
    )
)</f>
        <v/>
      </c>
      <c r="B131" s="6"/>
      <c r="C131" s="6"/>
      <c r="D131" s="6"/>
      <c r="E131" s="11"/>
      <c r="F131" s="11"/>
      <c r="G131" s="7"/>
      <c r="H131" s="21"/>
      <c r="I131" s="24" t="str">
        <f t="shared" si="19"/>
        <v/>
      </c>
      <c r="J131" s="25" t="str">
        <f t="shared" ca="1" si="20"/>
        <v/>
      </c>
      <c r="K131" s="22" t="str">
        <f t="shared" si="21"/>
        <v/>
      </c>
      <c r="L131" s="23" t="str">
        <f t="shared" ref="L131:L194" ca="1" si="29">IF(J131&lt;&gt;"",(J131/"0:0:1"),"")</f>
        <v/>
      </c>
      <c r="M131" s="7"/>
      <c r="N131" s="10" t="str">
        <f t="shared" ref="N131:N162" si="30">IF(
    B131="",
    "",
    K131&amp;CHAR(9)&amp;L131&amp;CHAR(9)&amp;"L"&amp;TEXT($A131,"000")
)</f>
        <v/>
      </c>
      <c r="O131" s="7"/>
      <c r="P131" s="12" t="str">
        <f t="shared" si="22"/>
        <v/>
      </c>
      <c r="Q131" s="13" t="str">
        <f t="shared" si="23"/>
        <v/>
      </c>
      <c r="R131" s="10" t="str">
        <f t="shared" ref="R131:R162" si="31">IF(
    B131="",
    "",
    SUBSTITUTE($C131,"-","－")&amp;" - "&amp;
    SUBSTITUTE($B131,"-","－")&amp;" - "&amp;
    $I131
)</f>
        <v/>
      </c>
      <c r="S131" s="7" t="s">
        <v>9</v>
      </c>
      <c r="T131" s="10" t="str">
        <f t="shared" ref="T131:T162" si="32">IF(
    B131="",
    "",
    TEXT($A131,"00 ")&amp;B131&amp;CHAR(9)&amp;
    B131&amp;CHAR(9)&amp;
    C131&amp;CHAR(9)&amp;
    "Tatsuya Endo"&amp;CHAR(9)&amp;
    D131&amp;CHAR(9)&amp;
    A131&amp;CHAR(9)&amp;
    E131&amp;CHAR(9)&amp;
    F131&amp;CHAR(9)&amp;
    REPT(CHAR(9),9)
)</f>
        <v/>
      </c>
      <c r="U131" s="7" t="s">
        <v>9</v>
      </c>
    </row>
    <row r="132" spans="1:21" s="2" customFormat="1" ht="12" customHeight="1" x14ac:dyDescent="0.4">
      <c r="A132" s="9" t="str">
        <f t="shared" ca="1" si="28"/>
        <v/>
      </c>
      <c r="B132" s="6"/>
      <c r="C132" s="6"/>
      <c r="D132" s="6"/>
      <c r="E132" s="11"/>
      <c r="F132" s="11"/>
      <c r="G132" s="7"/>
      <c r="H132" s="21"/>
      <c r="I132" s="24" t="str">
        <f t="shared" ref="I132:I195" si="33">IF(H132="","",TEXT(H132,"h:mm:ss"))</f>
        <v/>
      </c>
      <c r="J132" s="25" t="str">
        <f t="shared" ref="J132:J195" ca="1" si="34">IF(OFFSET(J132,1,-1)&lt;&gt;"",OFFSET(J132,1,-1),"")</f>
        <v/>
      </c>
      <c r="K132" s="22" t="str">
        <f t="shared" ref="K132:K195" si="35">IF(H132&lt;&gt;"",(H132/"0:0:1"),"")</f>
        <v/>
      </c>
      <c r="L132" s="23" t="str">
        <f t="shared" ca="1" si="29"/>
        <v/>
      </c>
      <c r="M132" s="7"/>
      <c r="N132" s="10" t="str">
        <f t="shared" si="30"/>
        <v/>
      </c>
      <c r="O132" s="7"/>
      <c r="P132" s="12" t="str">
        <f t="shared" ref="P132:P195" si="36">IF(
    $B132="",
    "",
    IF(
        ISERROR(FIND("-",$B132)),
        "〇",
        "×"
    )
)</f>
        <v/>
      </c>
      <c r="Q132" s="13" t="str">
        <f t="shared" ref="Q132:Q195" si="37">IF(
    $C132="",
    "",
    IF(
        ISERROR(FIND("-",$C132)),
        "〇",
        "×"
    )
)</f>
        <v/>
      </c>
      <c r="R132" s="10" t="str">
        <f t="shared" si="31"/>
        <v/>
      </c>
      <c r="S132" s="7" t="s">
        <v>9</v>
      </c>
      <c r="T132" s="10" t="str">
        <f t="shared" si="32"/>
        <v/>
      </c>
      <c r="U132" s="7" t="s">
        <v>9</v>
      </c>
    </row>
    <row r="133" spans="1:21" s="2" customFormat="1" ht="12" customHeight="1" x14ac:dyDescent="0.4">
      <c r="A133" s="9" t="str">
        <f t="shared" ca="1" si="28"/>
        <v/>
      </c>
      <c r="B133" s="6"/>
      <c r="C133" s="6"/>
      <c r="D133" s="6"/>
      <c r="E133" s="11"/>
      <c r="F133" s="11"/>
      <c r="G133" s="7"/>
      <c r="H133" s="21"/>
      <c r="I133" s="24" t="str">
        <f t="shared" si="33"/>
        <v/>
      </c>
      <c r="J133" s="25" t="str">
        <f t="shared" ca="1" si="34"/>
        <v/>
      </c>
      <c r="K133" s="22" t="str">
        <f t="shared" si="35"/>
        <v/>
      </c>
      <c r="L133" s="23" t="str">
        <f t="shared" ca="1" si="29"/>
        <v/>
      </c>
      <c r="M133" s="7"/>
      <c r="N133" s="10" t="str">
        <f t="shared" si="30"/>
        <v/>
      </c>
      <c r="O133" s="7"/>
      <c r="P133" s="12" t="str">
        <f t="shared" si="36"/>
        <v/>
      </c>
      <c r="Q133" s="13" t="str">
        <f t="shared" si="37"/>
        <v/>
      </c>
      <c r="R133" s="10" t="str">
        <f t="shared" si="31"/>
        <v/>
      </c>
      <c r="S133" s="7" t="s">
        <v>9</v>
      </c>
      <c r="T133" s="10" t="str">
        <f t="shared" si="32"/>
        <v/>
      </c>
      <c r="U133" s="7" t="s">
        <v>9</v>
      </c>
    </row>
    <row r="134" spans="1:21" s="2" customFormat="1" ht="12" customHeight="1" x14ac:dyDescent="0.4">
      <c r="A134" s="9" t="str">
        <f t="shared" ca="1" si="28"/>
        <v/>
      </c>
      <c r="B134" s="6"/>
      <c r="C134" s="6"/>
      <c r="D134" s="6"/>
      <c r="E134" s="11"/>
      <c r="F134" s="11"/>
      <c r="G134" s="7"/>
      <c r="H134" s="21"/>
      <c r="I134" s="24" t="str">
        <f t="shared" si="33"/>
        <v/>
      </c>
      <c r="J134" s="25" t="str">
        <f t="shared" ca="1" si="34"/>
        <v/>
      </c>
      <c r="K134" s="22" t="str">
        <f t="shared" si="35"/>
        <v/>
      </c>
      <c r="L134" s="23" t="str">
        <f t="shared" ca="1" si="29"/>
        <v/>
      </c>
      <c r="M134" s="7"/>
      <c r="N134" s="10" t="str">
        <f t="shared" si="30"/>
        <v/>
      </c>
      <c r="O134" s="7"/>
      <c r="P134" s="12" t="str">
        <f t="shared" si="36"/>
        <v/>
      </c>
      <c r="Q134" s="13" t="str">
        <f t="shared" si="37"/>
        <v/>
      </c>
      <c r="R134" s="10" t="str">
        <f t="shared" si="31"/>
        <v/>
      </c>
      <c r="S134" s="7" t="s">
        <v>9</v>
      </c>
      <c r="T134" s="10" t="str">
        <f t="shared" si="32"/>
        <v/>
      </c>
      <c r="U134" s="7" t="s">
        <v>9</v>
      </c>
    </row>
    <row r="135" spans="1:21" s="2" customFormat="1" ht="12" customHeight="1" x14ac:dyDescent="0.4">
      <c r="A135" s="9" t="str">
        <f t="shared" ca="1" si="28"/>
        <v/>
      </c>
      <c r="B135" s="6"/>
      <c r="C135" s="6"/>
      <c r="D135" s="6"/>
      <c r="E135" s="11"/>
      <c r="F135" s="11"/>
      <c r="G135" s="7"/>
      <c r="H135" s="21"/>
      <c r="I135" s="24" t="str">
        <f t="shared" si="33"/>
        <v/>
      </c>
      <c r="J135" s="25" t="str">
        <f t="shared" ca="1" si="34"/>
        <v/>
      </c>
      <c r="K135" s="22" t="str">
        <f t="shared" si="35"/>
        <v/>
      </c>
      <c r="L135" s="23" t="str">
        <f t="shared" ca="1" si="29"/>
        <v/>
      </c>
      <c r="M135" s="7"/>
      <c r="N135" s="10" t="str">
        <f t="shared" si="30"/>
        <v/>
      </c>
      <c r="O135" s="7"/>
      <c r="P135" s="12" t="str">
        <f t="shared" si="36"/>
        <v/>
      </c>
      <c r="Q135" s="13" t="str">
        <f t="shared" si="37"/>
        <v/>
      </c>
      <c r="R135" s="10" t="str">
        <f t="shared" si="31"/>
        <v/>
      </c>
      <c r="S135" s="7" t="s">
        <v>9</v>
      </c>
      <c r="T135" s="10" t="str">
        <f t="shared" si="32"/>
        <v/>
      </c>
      <c r="U135" s="7" t="s">
        <v>9</v>
      </c>
    </row>
    <row r="136" spans="1:21" s="2" customFormat="1" ht="12" customHeight="1" x14ac:dyDescent="0.4">
      <c r="A136" s="9" t="str">
        <f t="shared" ca="1" si="28"/>
        <v/>
      </c>
      <c r="B136" s="6"/>
      <c r="C136" s="6"/>
      <c r="D136" s="6"/>
      <c r="E136" s="11"/>
      <c r="F136" s="11"/>
      <c r="G136" s="7"/>
      <c r="H136" s="21"/>
      <c r="I136" s="24" t="str">
        <f t="shared" si="33"/>
        <v/>
      </c>
      <c r="J136" s="25" t="str">
        <f t="shared" ca="1" si="34"/>
        <v/>
      </c>
      <c r="K136" s="22" t="str">
        <f t="shared" si="35"/>
        <v/>
      </c>
      <c r="L136" s="23" t="str">
        <f t="shared" ca="1" si="29"/>
        <v/>
      </c>
      <c r="M136" s="7"/>
      <c r="N136" s="10" t="str">
        <f t="shared" si="30"/>
        <v/>
      </c>
      <c r="O136" s="7"/>
      <c r="P136" s="12" t="str">
        <f t="shared" si="36"/>
        <v/>
      </c>
      <c r="Q136" s="13" t="str">
        <f t="shared" si="37"/>
        <v/>
      </c>
      <c r="R136" s="10" t="str">
        <f t="shared" si="31"/>
        <v/>
      </c>
      <c r="S136" s="7" t="s">
        <v>9</v>
      </c>
      <c r="T136" s="10" t="str">
        <f t="shared" si="32"/>
        <v/>
      </c>
      <c r="U136" s="7" t="s">
        <v>9</v>
      </c>
    </row>
    <row r="137" spans="1:21" s="2" customFormat="1" ht="12" customHeight="1" x14ac:dyDescent="0.4">
      <c r="A137" s="9" t="str">
        <f t="shared" ca="1" si="28"/>
        <v/>
      </c>
      <c r="B137" s="6"/>
      <c r="C137" s="6"/>
      <c r="D137" s="6"/>
      <c r="E137" s="11"/>
      <c r="F137" s="11"/>
      <c r="G137" s="7"/>
      <c r="H137" s="21"/>
      <c r="I137" s="24" t="str">
        <f t="shared" si="33"/>
        <v/>
      </c>
      <c r="J137" s="25" t="str">
        <f t="shared" ca="1" si="34"/>
        <v/>
      </c>
      <c r="K137" s="22" t="str">
        <f t="shared" si="35"/>
        <v/>
      </c>
      <c r="L137" s="23" t="str">
        <f t="shared" ca="1" si="29"/>
        <v/>
      </c>
      <c r="M137" s="7"/>
      <c r="N137" s="10" t="str">
        <f t="shared" si="30"/>
        <v/>
      </c>
      <c r="O137" s="7"/>
      <c r="P137" s="12" t="str">
        <f t="shared" si="36"/>
        <v/>
      </c>
      <c r="Q137" s="13" t="str">
        <f t="shared" si="37"/>
        <v/>
      </c>
      <c r="R137" s="10" t="str">
        <f t="shared" si="31"/>
        <v/>
      </c>
      <c r="S137" s="7" t="s">
        <v>9</v>
      </c>
      <c r="T137" s="10" t="str">
        <f t="shared" si="32"/>
        <v/>
      </c>
      <c r="U137" s="7" t="s">
        <v>9</v>
      </c>
    </row>
    <row r="138" spans="1:21" s="2" customFormat="1" ht="12" customHeight="1" x14ac:dyDescent="0.4">
      <c r="A138" s="9" t="str">
        <f t="shared" ca="1" si="28"/>
        <v/>
      </c>
      <c r="B138" s="6"/>
      <c r="C138" s="6"/>
      <c r="D138" s="6"/>
      <c r="E138" s="11"/>
      <c r="F138" s="11"/>
      <c r="G138" s="7"/>
      <c r="H138" s="21"/>
      <c r="I138" s="24" t="str">
        <f t="shared" si="33"/>
        <v/>
      </c>
      <c r="J138" s="25" t="str">
        <f t="shared" ca="1" si="34"/>
        <v/>
      </c>
      <c r="K138" s="22" t="str">
        <f t="shared" si="35"/>
        <v/>
      </c>
      <c r="L138" s="23" t="str">
        <f t="shared" ca="1" si="29"/>
        <v/>
      </c>
      <c r="M138" s="7"/>
      <c r="N138" s="10" t="str">
        <f t="shared" si="30"/>
        <v/>
      </c>
      <c r="O138" s="7"/>
      <c r="P138" s="12" t="str">
        <f t="shared" si="36"/>
        <v/>
      </c>
      <c r="Q138" s="13" t="str">
        <f t="shared" si="37"/>
        <v/>
      </c>
      <c r="R138" s="10" t="str">
        <f t="shared" si="31"/>
        <v/>
      </c>
      <c r="S138" s="7" t="s">
        <v>9</v>
      </c>
      <c r="T138" s="10" t="str">
        <f t="shared" si="32"/>
        <v/>
      </c>
      <c r="U138" s="7" t="s">
        <v>9</v>
      </c>
    </row>
    <row r="139" spans="1:21" s="2" customFormat="1" ht="12" customHeight="1" x14ac:dyDescent="0.4">
      <c r="A139" s="9" t="str">
        <f t="shared" ca="1" si="28"/>
        <v/>
      </c>
      <c r="B139" s="6"/>
      <c r="C139" s="6"/>
      <c r="D139" s="6"/>
      <c r="E139" s="11"/>
      <c r="F139" s="11"/>
      <c r="G139" s="7"/>
      <c r="H139" s="21"/>
      <c r="I139" s="24" t="str">
        <f t="shared" si="33"/>
        <v/>
      </c>
      <c r="J139" s="25" t="str">
        <f t="shared" ca="1" si="34"/>
        <v/>
      </c>
      <c r="K139" s="22" t="str">
        <f t="shared" si="35"/>
        <v/>
      </c>
      <c r="L139" s="23" t="str">
        <f t="shared" ca="1" si="29"/>
        <v/>
      </c>
      <c r="M139" s="7"/>
      <c r="N139" s="10" t="str">
        <f t="shared" si="30"/>
        <v/>
      </c>
      <c r="O139" s="7"/>
      <c r="P139" s="12" t="str">
        <f t="shared" si="36"/>
        <v/>
      </c>
      <c r="Q139" s="13" t="str">
        <f t="shared" si="37"/>
        <v/>
      </c>
      <c r="R139" s="10" t="str">
        <f t="shared" si="31"/>
        <v/>
      </c>
      <c r="S139" s="7" t="s">
        <v>9</v>
      </c>
      <c r="T139" s="10" t="str">
        <f t="shared" si="32"/>
        <v/>
      </c>
      <c r="U139" s="7" t="s">
        <v>9</v>
      </c>
    </row>
    <row r="140" spans="1:21" s="2" customFormat="1" ht="12" customHeight="1" x14ac:dyDescent="0.4">
      <c r="A140" s="9" t="str">
        <f t="shared" ca="1" si="28"/>
        <v/>
      </c>
      <c r="B140" s="6"/>
      <c r="C140" s="6"/>
      <c r="D140" s="6"/>
      <c r="E140" s="11"/>
      <c r="F140" s="11"/>
      <c r="G140" s="7"/>
      <c r="H140" s="21"/>
      <c r="I140" s="24" t="str">
        <f t="shared" si="33"/>
        <v/>
      </c>
      <c r="J140" s="25" t="str">
        <f t="shared" ca="1" si="34"/>
        <v/>
      </c>
      <c r="K140" s="22" t="str">
        <f t="shared" si="35"/>
        <v/>
      </c>
      <c r="L140" s="23" t="str">
        <f t="shared" ca="1" si="29"/>
        <v/>
      </c>
      <c r="M140" s="7"/>
      <c r="N140" s="10" t="str">
        <f t="shared" si="30"/>
        <v/>
      </c>
      <c r="O140" s="7"/>
      <c r="P140" s="12" t="str">
        <f t="shared" si="36"/>
        <v/>
      </c>
      <c r="Q140" s="13" t="str">
        <f t="shared" si="37"/>
        <v/>
      </c>
      <c r="R140" s="10" t="str">
        <f t="shared" si="31"/>
        <v/>
      </c>
      <c r="S140" s="7" t="s">
        <v>9</v>
      </c>
      <c r="T140" s="10" t="str">
        <f t="shared" si="32"/>
        <v/>
      </c>
      <c r="U140" s="7" t="s">
        <v>9</v>
      </c>
    </row>
    <row r="141" spans="1:21" s="2" customFormat="1" ht="12" customHeight="1" x14ac:dyDescent="0.4">
      <c r="A141" s="9" t="str">
        <f t="shared" ca="1" si="28"/>
        <v/>
      </c>
      <c r="B141" s="6"/>
      <c r="C141" s="6"/>
      <c r="D141" s="6"/>
      <c r="E141" s="11"/>
      <c r="F141" s="11"/>
      <c r="G141" s="7"/>
      <c r="H141" s="21"/>
      <c r="I141" s="24" t="str">
        <f t="shared" si="33"/>
        <v/>
      </c>
      <c r="J141" s="25" t="str">
        <f t="shared" ca="1" si="34"/>
        <v/>
      </c>
      <c r="K141" s="22" t="str">
        <f t="shared" si="35"/>
        <v/>
      </c>
      <c r="L141" s="23" t="str">
        <f t="shared" ca="1" si="29"/>
        <v/>
      </c>
      <c r="M141" s="7"/>
      <c r="N141" s="10" t="str">
        <f t="shared" si="30"/>
        <v/>
      </c>
      <c r="O141" s="7"/>
      <c r="P141" s="12" t="str">
        <f t="shared" si="36"/>
        <v/>
      </c>
      <c r="Q141" s="13" t="str">
        <f t="shared" si="37"/>
        <v/>
      </c>
      <c r="R141" s="10" t="str">
        <f t="shared" si="31"/>
        <v/>
      </c>
      <c r="S141" s="7" t="s">
        <v>9</v>
      </c>
      <c r="T141" s="10" t="str">
        <f t="shared" si="32"/>
        <v/>
      </c>
      <c r="U141" s="7" t="s">
        <v>9</v>
      </c>
    </row>
    <row r="142" spans="1:21" s="2" customFormat="1" ht="12" customHeight="1" x14ac:dyDescent="0.4">
      <c r="A142" s="9" t="str">
        <f t="shared" ca="1" si="28"/>
        <v/>
      </c>
      <c r="B142" s="6"/>
      <c r="C142" s="6"/>
      <c r="D142" s="6"/>
      <c r="E142" s="11"/>
      <c r="F142" s="11"/>
      <c r="G142" s="7"/>
      <c r="H142" s="21"/>
      <c r="I142" s="24" t="str">
        <f t="shared" si="33"/>
        <v/>
      </c>
      <c r="J142" s="25" t="str">
        <f t="shared" ca="1" si="34"/>
        <v/>
      </c>
      <c r="K142" s="22" t="str">
        <f t="shared" si="35"/>
        <v/>
      </c>
      <c r="L142" s="23" t="str">
        <f t="shared" ca="1" si="29"/>
        <v/>
      </c>
      <c r="M142" s="7"/>
      <c r="N142" s="10" t="str">
        <f t="shared" si="30"/>
        <v/>
      </c>
      <c r="O142" s="7"/>
      <c r="P142" s="12" t="str">
        <f t="shared" si="36"/>
        <v/>
      </c>
      <c r="Q142" s="13" t="str">
        <f t="shared" si="37"/>
        <v/>
      </c>
      <c r="R142" s="10" t="str">
        <f t="shared" si="31"/>
        <v/>
      </c>
      <c r="S142" s="7" t="s">
        <v>9</v>
      </c>
      <c r="T142" s="10" t="str">
        <f t="shared" si="32"/>
        <v/>
      </c>
      <c r="U142" s="7" t="s">
        <v>9</v>
      </c>
    </row>
    <row r="143" spans="1:21" s="2" customFormat="1" ht="12" customHeight="1" x14ac:dyDescent="0.4">
      <c r="A143" s="9" t="str">
        <f t="shared" ca="1" si="28"/>
        <v/>
      </c>
      <c r="B143" s="6"/>
      <c r="C143" s="6"/>
      <c r="D143" s="6"/>
      <c r="E143" s="11"/>
      <c r="F143" s="11"/>
      <c r="G143" s="7"/>
      <c r="H143" s="21"/>
      <c r="I143" s="24" t="str">
        <f t="shared" si="33"/>
        <v/>
      </c>
      <c r="J143" s="25" t="str">
        <f t="shared" ca="1" si="34"/>
        <v/>
      </c>
      <c r="K143" s="22" t="str">
        <f t="shared" si="35"/>
        <v/>
      </c>
      <c r="L143" s="23" t="str">
        <f t="shared" ca="1" si="29"/>
        <v/>
      </c>
      <c r="M143" s="7"/>
      <c r="N143" s="10" t="str">
        <f t="shared" si="30"/>
        <v/>
      </c>
      <c r="O143" s="7"/>
      <c r="P143" s="12" t="str">
        <f t="shared" si="36"/>
        <v/>
      </c>
      <c r="Q143" s="13" t="str">
        <f t="shared" si="37"/>
        <v/>
      </c>
      <c r="R143" s="10" t="str">
        <f t="shared" si="31"/>
        <v/>
      </c>
      <c r="S143" s="7" t="s">
        <v>9</v>
      </c>
      <c r="T143" s="10" t="str">
        <f t="shared" si="32"/>
        <v/>
      </c>
      <c r="U143" s="7" t="s">
        <v>9</v>
      </c>
    </row>
    <row r="144" spans="1:21" s="2" customFormat="1" ht="12" customHeight="1" x14ac:dyDescent="0.4">
      <c r="A144" s="9" t="str">
        <f t="shared" ca="1" si="28"/>
        <v/>
      </c>
      <c r="B144" s="6"/>
      <c r="C144" s="6"/>
      <c r="D144" s="6"/>
      <c r="E144" s="11"/>
      <c r="F144" s="11"/>
      <c r="G144" s="7"/>
      <c r="H144" s="21"/>
      <c r="I144" s="24" t="str">
        <f t="shared" si="33"/>
        <v/>
      </c>
      <c r="J144" s="25" t="str">
        <f t="shared" ca="1" si="34"/>
        <v/>
      </c>
      <c r="K144" s="22" t="str">
        <f t="shared" si="35"/>
        <v/>
      </c>
      <c r="L144" s="23" t="str">
        <f t="shared" ca="1" si="29"/>
        <v/>
      </c>
      <c r="M144" s="7"/>
      <c r="N144" s="10" t="str">
        <f t="shared" si="30"/>
        <v/>
      </c>
      <c r="O144" s="7"/>
      <c r="P144" s="12" t="str">
        <f t="shared" si="36"/>
        <v/>
      </c>
      <c r="Q144" s="13" t="str">
        <f t="shared" si="37"/>
        <v/>
      </c>
      <c r="R144" s="10" t="str">
        <f t="shared" si="31"/>
        <v/>
      </c>
      <c r="S144" s="7" t="s">
        <v>9</v>
      </c>
      <c r="T144" s="10" t="str">
        <f t="shared" si="32"/>
        <v/>
      </c>
      <c r="U144" s="7" t="s">
        <v>9</v>
      </c>
    </row>
    <row r="145" spans="1:21" s="2" customFormat="1" ht="12" customHeight="1" x14ac:dyDescent="0.4">
      <c r="A145" s="9" t="str">
        <f t="shared" ca="1" si="28"/>
        <v/>
      </c>
      <c r="B145" s="6"/>
      <c r="C145" s="6"/>
      <c r="D145" s="6"/>
      <c r="E145" s="11"/>
      <c r="F145" s="11"/>
      <c r="G145" s="7"/>
      <c r="H145" s="21"/>
      <c r="I145" s="24" t="str">
        <f t="shared" si="33"/>
        <v/>
      </c>
      <c r="J145" s="25" t="str">
        <f t="shared" ca="1" si="34"/>
        <v/>
      </c>
      <c r="K145" s="22" t="str">
        <f t="shared" si="35"/>
        <v/>
      </c>
      <c r="L145" s="23" t="str">
        <f t="shared" ca="1" si="29"/>
        <v/>
      </c>
      <c r="M145" s="7"/>
      <c r="N145" s="10" t="str">
        <f t="shared" si="30"/>
        <v/>
      </c>
      <c r="O145" s="7"/>
      <c r="P145" s="12" t="str">
        <f t="shared" si="36"/>
        <v/>
      </c>
      <c r="Q145" s="13" t="str">
        <f t="shared" si="37"/>
        <v/>
      </c>
      <c r="R145" s="10" t="str">
        <f t="shared" si="31"/>
        <v/>
      </c>
      <c r="S145" s="7" t="s">
        <v>9</v>
      </c>
      <c r="T145" s="10" t="str">
        <f t="shared" si="32"/>
        <v/>
      </c>
      <c r="U145" s="7" t="s">
        <v>9</v>
      </c>
    </row>
    <row r="146" spans="1:21" s="2" customFormat="1" ht="12" customHeight="1" x14ac:dyDescent="0.4">
      <c r="A146" s="9" t="str">
        <f t="shared" ca="1" si="28"/>
        <v/>
      </c>
      <c r="B146" s="6"/>
      <c r="C146" s="6"/>
      <c r="D146" s="6"/>
      <c r="E146" s="11"/>
      <c r="F146" s="11"/>
      <c r="G146" s="7"/>
      <c r="H146" s="21"/>
      <c r="I146" s="24" t="str">
        <f t="shared" si="33"/>
        <v/>
      </c>
      <c r="J146" s="25" t="str">
        <f t="shared" ca="1" si="34"/>
        <v/>
      </c>
      <c r="K146" s="22" t="str">
        <f t="shared" si="35"/>
        <v/>
      </c>
      <c r="L146" s="23" t="str">
        <f t="shared" ca="1" si="29"/>
        <v/>
      </c>
      <c r="M146" s="7"/>
      <c r="N146" s="10" t="str">
        <f t="shared" si="30"/>
        <v/>
      </c>
      <c r="O146" s="7"/>
      <c r="P146" s="12" t="str">
        <f t="shared" si="36"/>
        <v/>
      </c>
      <c r="Q146" s="13" t="str">
        <f t="shared" si="37"/>
        <v/>
      </c>
      <c r="R146" s="10" t="str">
        <f t="shared" si="31"/>
        <v/>
      </c>
      <c r="S146" s="7" t="s">
        <v>9</v>
      </c>
      <c r="T146" s="10" t="str">
        <f t="shared" si="32"/>
        <v/>
      </c>
      <c r="U146" s="7" t="s">
        <v>9</v>
      </c>
    </row>
    <row r="147" spans="1:21" s="2" customFormat="1" ht="12" customHeight="1" x14ac:dyDescent="0.4">
      <c r="A147" s="9" t="str">
        <f t="shared" ca="1" si="28"/>
        <v/>
      </c>
      <c r="B147" s="6"/>
      <c r="C147" s="6"/>
      <c r="D147" s="6"/>
      <c r="E147" s="11"/>
      <c r="F147" s="11"/>
      <c r="G147" s="7"/>
      <c r="H147" s="21"/>
      <c r="I147" s="24" t="str">
        <f t="shared" si="33"/>
        <v/>
      </c>
      <c r="J147" s="25" t="str">
        <f t="shared" ca="1" si="34"/>
        <v/>
      </c>
      <c r="K147" s="22" t="str">
        <f t="shared" si="35"/>
        <v/>
      </c>
      <c r="L147" s="23" t="str">
        <f t="shared" ca="1" si="29"/>
        <v/>
      </c>
      <c r="M147" s="7"/>
      <c r="N147" s="10" t="str">
        <f t="shared" si="30"/>
        <v/>
      </c>
      <c r="O147" s="7"/>
      <c r="P147" s="12" t="str">
        <f t="shared" si="36"/>
        <v/>
      </c>
      <c r="Q147" s="13" t="str">
        <f t="shared" si="37"/>
        <v/>
      </c>
      <c r="R147" s="10" t="str">
        <f t="shared" si="31"/>
        <v/>
      </c>
      <c r="S147" s="7" t="s">
        <v>9</v>
      </c>
      <c r="T147" s="10" t="str">
        <f t="shared" si="32"/>
        <v/>
      </c>
      <c r="U147" s="7" t="s">
        <v>9</v>
      </c>
    </row>
    <row r="148" spans="1:21" s="2" customFormat="1" ht="12" customHeight="1" x14ac:dyDescent="0.4">
      <c r="A148" s="9" t="str">
        <f t="shared" ca="1" si="28"/>
        <v/>
      </c>
      <c r="B148" s="6"/>
      <c r="C148" s="6"/>
      <c r="D148" s="6"/>
      <c r="E148" s="11"/>
      <c r="F148" s="11"/>
      <c r="G148" s="7"/>
      <c r="H148" s="21"/>
      <c r="I148" s="24" t="str">
        <f t="shared" si="33"/>
        <v/>
      </c>
      <c r="J148" s="25" t="str">
        <f t="shared" ca="1" si="34"/>
        <v/>
      </c>
      <c r="K148" s="22" t="str">
        <f t="shared" si="35"/>
        <v/>
      </c>
      <c r="L148" s="23" t="str">
        <f t="shared" ca="1" si="29"/>
        <v/>
      </c>
      <c r="M148" s="7"/>
      <c r="N148" s="10" t="str">
        <f t="shared" si="30"/>
        <v/>
      </c>
      <c r="O148" s="7"/>
      <c r="P148" s="12" t="str">
        <f t="shared" si="36"/>
        <v/>
      </c>
      <c r="Q148" s="13" t="str">
        <f t="shared" si="37"/>
        <v/>
      </c>
      <c r="R148" s="10" t="str">
        <f t="shared" si="31"/>
        <v/>
      </c>
      <c r="S148" s="7" t="s">
        <v>9</v>
      </c>
      <c r="T148" s="10" t="str">
        <f t="shared" si="32"/>
        <v/>
      </c>
      <c r="U148" s="7" t="s">
        <v>9</v>
      </c>
    </row>
    <row r="149" spans="1:21" s="2" customFormat="1" ht="12" customHeight="1" x14ac:dyDescent="0.4">
      <c r="A149" s="9" t="str">
        <f t="shared" ca="1" si="28"/>
        <v/>
      </c>
      <c r="B149" s="6"/>
      <c r="C149" s="6"/>
      <c r="D149" s="6"/>
      <c r="E149" s="11"/>
      <c r="F149" s="11"/>
      <c r="G149" s="7"/>
      <c r="H149" s="21"/>
      <c r="I149" s="24" t="str">
        <f t="shared" si="33"/>
        <v/>
      </c>
      <c r="J149" s="25" t="str">
        <f t="shared" ca="1" si="34"/>
        <v/>
      </c>
      <c r="K149" s="22" t="str">
        <f t="shared" si="35"/>
        <v/>
      </c>
      <c r="L149" s="23" t="str">
        <f t="shared" ca="1" si="29"/>
        <v/>
      </c>
      <c r="M149" s="7"/>
      <c r="N149" s="10" t="str">
        <f t="shared" si="30"/>
        <v/>
      </c>
      <c r="O149" s="7"/>
      <c r="P149" s="12" t="str">
        <f t="shared" si="36"/>
        <v/>
      </c>
      <c r="Q149" s="13" t="str">
        <f t="shared" si="37"/>
        <v/>
      </c>
      <c r="R149" s="10" t="str">
        <f t="shared" si="31"/>
        <v/>
      </c>
      <c r="S149" s="7" t="s">
        <v>9</v>
      </c>
      <c r="T149" s="10" t="str">
        <f t="shared" si="32"/>
        <v/>
      </c>
      <c r="U149" s="7" t="s">
        <v>9</v>
      </c>
    </row>
    <row r="150" spans="1:21" s="2" customFormat="1" ht="12" customHeight="1" x14ac:dyDescent="0.4">
      <c r="A150" s="9" t="str">
        <f t="shared" ca="1" si="28"/>
        <v/>
      </c>
      <c r="B150" s="6"/>
      <c r="C150" s="6"/>
      <c r="D150" s="6"/>
      <c r="E150" s="11"/>
      <c r="F150" s="11"/>
      <c r="G150" s="7"/>
      <c r="H150" s="21"/>
      <c r="I150" s="24" t="str">
        <f t="shared" si="33"/>
        <v/>
      </c>
      <c r="J150" s="25" t="str">
        <f t="shared" ca="1" si="34"/>
        <v/>
      </c>
      <c r="K150" s="22" t="str">
        <f t="shared" si="35"/>
        <v/>
      </c>
      <c r="L150" s="23" t="str">
        <f t="shared" ca="1" si="29"/>
        <v/>
      </c>
      <c r="M150" s="7"/>
      <c r="N150" s="10" t="str">
        <f t="shared" si="30"/>
        <v/>
      </c>
      <c r="O150" s="7"/>
      <c r="P150" s="12" t="str">
        <f t="shared" si="36"/>
        <v/>
      </c>
      <c r="Q150" s="13" t="str">
        <f t="shared" si="37"/>
        <v/>
      </c>
      <c r="R150" s="10" t="str">
        <f t="shared" si="31"/>
        <v/>
      </c>
      <c r="S150" s="7" t="s">
        <v>9</v>
      </c>
      <c r="T150" s="10" t="str">
        <f t="shared" si="32"/>
        <v/>
      </c>
      <c r="U150" s="7" t="s">
        <v>9</v>
      </c>
    </row>
    <row r="151" spans="1:21" s="2" customFormat="1" ht="12" customHeight="1" x14ac:dyDescent="0.4">
      <c r="A151" s="9" t="str">
        <f t="shared" ca="1" si="28"/>
        <v/>
      </c>
      <c r="B151" s="6"/>
      <c r="C151" s="6"/>
      <c r="D151" s="6"/>
      <c r="E151" s="11"/>
      <c r="F151" s="11"/>
      <c r="G151" s="7"/>
      <c r="H151" s="21"/>
      <c r="I151" s="24" t="str">
        <f t="shared" si="33"/>
        <v/>
      </c>
      <c r="J151" s="25" t="str">
        <f t="shared" ca="1" si="34"/>
        <v/>
      </c>
      <c r="K151" s="22" t="str">
        <f t="shared" si="35"/>
        <v/>
      </c>
      <c r="L151" s="23" t="str">
        <f t="shared" ca="1" si="29"/>
        <v/>
      </c>
      <c r="M151" s="7"/>
      <c r="N151" s="10" t="str">
        <f t="shared" si="30"/>
        <v/>
      </c>
      <c r="O151" s="7"/>
      <c r="P151" s="12" t="str">
        <f t="shared" si="36"/>
        <v/>
      </c>
      <c r="Q151" s="13" t="str">
        <f t="shared" si="37"/>
        <v/>
      </c>
      <c r="R151" s="10" t="str">
        <f t="shared" si="31"/>
        <v/>
      </c>
      <c r="S151" s="7" t="s">
        <v>9</v>
      </c>
      <c r="T151" s="10" t="str">
        <f t="shared" si="32"/>
        <v/>
      </c>
      <c r="U151" s="7" t="s">
        <v>9</v>
      </c>
    </row>
    <row r="152" spans="1:21" s="2" customFormat="1" ht="12" customHeight="1" x14ac:dyDescent="0.4">
      <c r="A152" s="9" t="str">
        <f t="shared" ca="1" si="28"/>
        <v/>
      </c>
      <c r="B152" s="6"/>
      <c r="C152" s="6"/>
      <c r="D152" s="6"/>
      <c r="E152" s="11"/>
      <c r="F152" s="11"/>
      <c r="G152" s="7"/>
      <c r="H152" s="21"/>
      <c r="I152" s="24" t="str">
        <f t="shared" si="33"/>
        <v/>
      </c>
      <c r="J152" s="25" t="str">
        <f t="shared" ca="1" si="34"/>
        <v/>
      </c>
      <c r="K152" s="22" t="str">
        <f t="shared" si="35"/>
        <v/>
      </c>
      <c r="L152" s="23" t="str">
        <f t="shared" ca="1" si="29"/>
        <v/>
      </c>
      <c r="M152" s="7"/>
      <c r="N152" s="10" t="str">
        <f t="shared" si="30"/>
        <v/>
      </c>
      <c r="O152" s="7"/>
      <c r="P152" s="12" t="str">
        <f t="shared" si="36"/>
        <v/>
      </c>
      <c r="Q152" s="13" t="str">
        <f t="shared" si="37"/>
        <v/>
      </c>
      <c r="R152" s="10" t="str">
        <f t="shared" si="31"/>
        <v/>
      </c>
      <c r="S152" s="7" t="s">
        <v>9</v>
      </c>
      <c r="T152" s="10" t="str">
        <f t="shared" si="32"/>
        <v/>
      </c>
      <c r="U152" s="7" t="s">
        <v>9</v>
      </c>
    </row>
    <row r="153" spans="1:21" s="2" customFormat="1" ht="12" customHeight="1" x14ac:dyDescent="0.4">
      <c r="A153" s="9" t="str">
        <f t="shared" ca="1" si="28"/>
        <v/>
      </c>
      <c r="B153" s="6"/>
      <c r="C153" s="6"/>
      <c r="D153" s="6"/>
      <c r="E153" s="11"/>
      <c r="F153" s="11"/>
      <c r="G153" s="7"/>
      <c r="H153" s="21"/>
      <c r="I153" s="24" t="str">
        <f t="shared" si="33"/>
        <v/>
      </c>
      <c r="J153" s="25" t="str">
        <f t="shared" ca="1" si="34"/>
        <v/>
      </c>
      <c r="K153" s="22" t="str">
        <f t="shared" si="35"/>
        <v/>
      </c>
      <c r="L153" s="23" t="str">
        <f t="shared" ca="1" si="29"/>
        <v/>
      </c>
      <c r="M153" s="7"/>
      <c r="N153" s="10" t="str">
        <f t="shared" si="30"/>
        <v/>
      </c>
      <c r="O153" s="7"/>
      <c r="P153" s="12" t="str">
        <f t="shared" si="36"/>
        <v/>
      </c>
      <c r="Q153" s="13" t="str">
        <f t="shared" si="37"/>
        <v/>
      </c>
      <c r="R153" s="10" t="str">
        <f t="shared" si="31"/>
        <v/>
      </c>
      <c r="S153" s="7" t="s">
        <v>9</v>
      </c>
      <c r="T153" s="10" t="str">
        <f t="shared" si="32"/>
        <v/>
      </c>
      <c r="U153" s="7" t="s">
        <v>9</v>
      </c>
    </row>
    <row r="154" spans="1:21" s="2" customFormat="1" ht="12" customHeight="1" x14ac:dyDescent="0.4">
      <c r="A154" s="9" t="str">
        <f t="shared" ca="1" si="28"/>
        <v/>
      </c>
      <c r="B154" s="6"/>
      <c r="C154" s="6"/>
      <c r="D154" s="6"/>
      <c r="E154" s="11"/>
      <c r="F154" s="11"/>
      <c r="G154" s="7"/>
      <c r="H154" s="21"/>
      <c r="I154" s="24" t="str">
        <f t="shared" si="33"/>
        <v/>
      </c>
      <c r="J154" s="25" t="str">
        <f t="shared" ca="1" si="34"/>
        <v/>
      </c>
      <c r="K154" s="22" t="str">
        <f t="shared" si="35"/>
        <v/>
      </c>
      <c r="L154" s="23" t="str">
        <f t="shared" ca="1" si="29"/>
        <v/>
      </c>
      <c r="M154" s="7"/>
      <c r="N154" s="10" t="str">
        <f t="shared" si="30"/>
        <v/>
      </c>
      <c r="O154" s="7"/>
      <c r="P154" s="12" t="str">
        <f t="shared" si="36"/>
        <v/>
      </c>
      <c r="Q154" s="13" t="str">
        <f t="shared" si="37"/>
        <v/>
      </c>
      <c r="R154" s="10" t="str">
        <f t="shared" si="31"/>
        <v/>
      </c>
      <c r="S154" s="7" t="s">
        <v>9</v>
      </c>
      <c r="T154" s="10" t="str">
        <f t="shared" si="32"/>
        <v/>
      </c>
      <c r="U154" s="7" t="s">
        <v>9</v>
      </c>
    </row>
    <row r="155" spans="1:21" s="2" customFormat="1" ht="12" customHeight="1" x14ac:dyDescent="0.4">
      <c r="A155" s="9" t="str">
        <f t="shared" ca="1" si="28"/>
        <v/>
      </c>
      <c r="B155" s="6"/>
      <c r="C155" s="6"/>
      <c r="D155" s="6"/>
      <c r="E155" s="11"/>
      <c r="F155" s="11"/>
      <c r="G155" s="7"/>
      <c r="H155" s="21"/>
      <c r="I155" s="24" t="str">
        <f t="shared" si="33"/>
        <v/>
      </c>
      <c r="J155" s="25" t="str">
        <f t="shared" ca="1" si="34"/>
        <v/>
      </c>
      <c r="K155" s="22" t="str">
        <f t="shared" si="35"/>
        <v/>
      </c>
      <c r="L155" s="23" t="str">
        <f t="shared" ca="1" si="29"/>
        <v/>
      </c>
      <c r="M155" s="7"/>
      <c r="N155" s="10" t="str">
        <f t="shared" si="30"/>
        <v/>
      </c>
      <c r="O155" s="7"/>
      <c r="P155" s="12" t="str">
        <f t="shared" si="36"/>
        <v/>
      </c>
      <c r="Q155" s="13" t="str">
        <f t="shared" si="37"/>
        <v/>
      </c>
      <c r="R155" s="10" t="str">
        <f t="shared" si="31"/>
        <v/>
      </c>
      <c r="S155" s="7" t="s">
        <v>9</v>
      </c>
      <c r="T155" s="10" t="str">
        <f t="shared" si="32"/>
        <v/>
      </c>
      <c r="U155" s="7" t="s">
        <v>9</v>
      </c>
    </row>
    <row r="156" spans="1:21" s="2" customFormat="1" ht="12" customHeight="1" x14ac:dyDescent="0.4">
      <c r="A156" s="9" t="str">
        <f t="shared" ca="1" si="28"/>
        <v/>
      </c>
      <c r="B156" s="6"/>
      <c r="C156" s="6"/>
      <c r="D156" s="6"/>
      <c r="E156" s="11"/>
      <c r="F156" s="11"/>
      <c r="G156" s="7"/>
      <c r="H156" s="21"/>
      <c r="I156" s="24" t="str">
        <f t="shared" si="33"/>
        <v/>
      </c>
      <c r="J156" s="25" t="str">
        <f t="shared" ca="1" si="34"/>
        <v/>
      </c>
      <c r="K156" s="22" t="str">
        <f t="shared" si="35"/>
        <v/>
      </c>
      <c r="L156" s="23" t="str">
        <f t="shared" ca="1" si="29"/>
        <v/>
      </c>
      <c r="M156" s="7"/>
      <c r="N156" s="10" t="str">
        <f t="shared" si="30"/>
        <v/>
      </c>
      <c r="O156" s="7"/>
      <c r="P156" s="12" t="str">
        <f t="shared" si="36"/>
        <v/>
      </c>
      <c r="Q156" s="13" t="str">
        <f t="shared" si="37"/>
        <v/>
      </c>
      <c r="R156" s="10" t="str">
        <f t="shared" si="31"/>
        <v/>
      </c>
      <c r="S156" s="7" t="s">
        <v>9</v>
      </c>
      <c r="T156" s="10" t="str">
        <f t="shared" si="32"/>
        <v/>
      </c>
      <c r="U156" s="7" t="s">
        <v>9</v>
      </c>
    </row>
    <row r="157" spans="1:21" s="2" customFormat="1" ht="12" customHeight="1" x14ac:dyDescent="0.4">
      <c r="A157" s="9" t="str">
        <f t="shared" ca="1" si="28"/>
        <v/>
      </c>
      <c r="B157" s="6"/>
      <c r="C157" s="6"/>
      <c r="D157" s="6"/>
      <c r="E157" s="11"/>
      <c r="F157" s="11"/>
      <c r="G157" s="7"/>
      <c r="H157" s="21"/>
      <c r="I157" s="24" t="str">
        <f t="shared" si="33"/>
        <v/>
      </c>
      <c r="J157" s="25" t="str">
        <f t="shared" ca="1" si="34"/>
        <v/>
      </c>
      <c r="K157" s="22" t="str">
        <f t="shared" si="35"/>
        <v/>
      </c>
      <c r="L157" s="23" t="str">
        <f t="shared" ca="1" si="29"/>
        <v/>
      </c>
      <c r="M157" s="7"/>
      <c r="N157" s="10" t="str">
        <f t="shared" si="30"/>
        <v/>
      </c>
      <c r="O157" s="7"/>
      <c r="P157" s="12" t="str">
        <f t="shared" si="36"/>
        <v/>
      </c>
      <c r="Q157" s="13" t="str">
        <f t="shared" si="37"/>
        <v/>
      </c>
      <c r="R157" s="10" t="str">
        <f t="shared" si="31"/>
        <v/>
      </c>
      <c r="S157" s="7" t="s">
        <v>9</v>
      </c>
      <c r="T157" s="10" t="str">
        <f t="shared" si="32"/>
        <v/>
      </c>
      <c r="U157" s="7" t="s">
        <v>9</v>
      </c>
    </row>
    <row r="158" spans="1:21" s="2" customFormat="1" ht="12" customHeight="1" x14ac:dyDescent="0.4">
      <c r="A158" s="9" t="str">
        <f t="shared" ca="1" si="28"/>
        <v/>
      </c>
      <c r="B158" s="6"/>
      <c r="C158" s="6"/>
      <c r="D158" s="6"/>
      <c r="E158" s="11"/>
      <c r="F158" s="11"/>
      <c r="G158" s="7"/>
      <c r="H158" s="21"/>
      <c r="I158" s="24" t="str">
        <f t="shared" si="33"/>
        <v/>
      </c>
      <c r="J158" s="25" t="str">
        <f t="shared" ca="1" si="34"/>
        <v/>
      </c>
      <c r="K158" s="22" t="str">
        <f t="shared" si="35"/>
        <v/>
      </c>
      <c r="L158" s="23" t="str">
        <f t="shared" ca="1" si="29"/>
        <v/>
      </c>
      <c r="M158" s="7"/>
      <c r="N158" s="10" t="str">
        <f t="shared" si="30"/>
        <v/>
      </c>
      <c r="O158" s="7"/>
      <c r="P158" s="12" t="str">
        <f t="shared" si="36"/>
        <v/>
      </c>
      <c r="Q158" s="13" t="str">
        <f t="shared" si="37"/>
        <v/>
      </c>
      <c r="R158" s="10" t="str">
        <f t="shared" si="31"/>
        <v/>
      </c>
      <c r="S158" s="7" t="s">
        <v>9</v>
      </c>
      <c r="T158" s="10" t="str">
        <f t="shared" si="32"/>
        <v/>
      </c>
      <c r="U158" s="7" t="s">
        <v>9</v>
      </c>
    </row>
    <row r="159" spans="1:21" s="2" customFormat="1" ht="12" customHeight="1" x14ac:dyDescent="0.4">
      <c r="A159" s="9" t="str">
        <f t="shared" ca="1" si="28"/>
        <v/>
      </c>
      <c r="B159" s="6"/>
      <c r="C159" s="6"/>
      <c r="D159" s="6"/>
      <c r="E159" s="11"/>
      <c r="F159" s="11"/>
      <c r="G159" s="7"/>
      <c r="H159" s="21"/>
      <c r="I159" s="24" t="str">
        <f t="shared" si="33"/>
        <v/>
      </c>
      <c r="J159" s="25" t="str">
        <f t="shared" ca="1" si="34"/>
        <v/>
      </c>
      <c r="K159" s="22" t="str">
        <f t="shared" si="35"/>
        <v/>
      </c>
      <c r="L159" s="23" t="str">
        <f t="shared" ca="1" si="29"/>
        <v/>
      </c>
      <c r="M159" s="7"/>
      <c r="N159" s="10" t="str">
        <f t="shared" si="30"/>
        <v/>
      </c>
      <c r="O159" s="7"/>
      <c r="P159" s="12" t="str">
        <f t="shared" si="36"/>
        <v/>
      </c>
      <c r="Q159" s="13" t="str">
        <f t="shared" si="37"/>
        <v/>
      </c>
      <c r="R159" s="10" t="str">
        <f t="shared" si="31"/>
        <v/>
      </c>
      <c r="S159" s="7" t="s">
        <v>9</v>
      </c>
      <c r="T159" s="10" t="str">
        <f t="shared" si="32"/>
        <v/>
      </c>
      <c r="U159" s="7" t="s">
        <v>9</v>
      </c>
    </row>
    <row r="160" spans="1:21" s="2" customFormat="1" ht="12" customHeight="1" x14ac:dyDescent="0.4">
      <c r="A160" s="9" t="str">
        <f t="shared" ca="1" si="28"/>
        <v/>
      </c>
      <c r="B160" s="6"/>
      <c r="C160" s="6"/>
      <c r="D160" s="6"/>
      <c r="E160" s="11"/>
      <c r="F160" s="11"/>
      <c r="G160" s="7"/>
      <c r="H160" s="21"/>
      <c r="I160" s="24" t="str">
        <f t="shared" si="33"/>
        <v/>
      </c>
      <c r="J160" s="25" t="str">
        <f t="shared" ca="1" si="34"/>
        <v/>
      </c>
      <c r="K160" s="22" t="str">
        <f t="shared" si="35"/>
        <v/>
      </c>
      <c r="L160" s="23" t="str">
        <f t="shared" ca="1" si="29"/>
        <v/>
      </c>
      <c r="M160" s="7"/>
      <c r="N160" s="10" t="str">
        <f t="shared" si="30"/>
        <v/>
      </c>
      <c r="O160" s="7"/>
      <c r="P160" s="12" t="str">
        <f t="shared" si="36"/>
        <v/>
      </c>
      <c r="Q160" s="13" t="str">
        <f t="shared" si="37"/>
        <v/>
      </c>
      <c r="R160" s="10" t="str">
        <f t="shared" si="31"/>
        <v/>
      </c>
      <c r="S160" s="7" t="s">
        <v>9</v>
      </c>
      <c r="T160" s="10" t="str">
        <f t="shared" si="32"/>
        <v/>
      </c>
      <c r="U160" s="7" t="s">
        <v>9</v>
      </c>
    </row>
    <row r="161" spans="1:21" s="2" customFormat="1" ht="12" customHeight="1" x14ac:dyDescent="0.4">
      <c r="A161" s="9" t="str">
        <f t="shared" ca="1" si="28"/>
        <v/>
      </c>
      <c r="B161" s="6"/>
      <c r="C161" s="6"/>
      <c r="D161" s="6"/>
      <c r="E161" s="11"/>
      <c r="F161" s="11"/>
      <c r="G161" s="7"/>
      <c r="H161" s="21"/>
      <c r="I161" s="24" t="str">
        <f t="shared" si="33"/>
        <v/>
      </c>
      <c r="J161" s="25" t="str">
        <f t="shared" ca="1" si="34"/>
        <v/>
      </c>
      <c r="K161" s="22" t="str">
        <f t="shared" si="35"/>
        <v/>
      </c>
      <c r="L161" s="23" t="str">
        <f t="shared" ca="1" si="29"/>
        <v/>
      </c>
      <c r="M161" s="7"/>
      <c r="N161" s="10" t="str">
        <f t="shared" si="30"/>
        <v/>
      </c>
      <c r="O161" s="7"/>
      <c r="P161" s="12" t="str">
        <f t="shared" si="36"/>
        <v/>
      </c>
      <c r="Q161" s="13" t="str">
        <f t="shared" si="37"/>
        <v/>
      </c>
      <c r="R161" s="10" t="str">
        <f t="shared" si="31"/>
        <v/>
      </c>
      <c r="S161" s="7" t="s">
        <v>9</v>
      </c>
      <c r="T161" s="10" t="str">
        <f t="shared" si="32"/>
        <v/>
      </c>
      <c r="U161" s="7" t="s">
        <v>9</v>
      </c>
    </row>
    <row r="162" spans="1:21" s="2" customFormat="1" ht="12" customHeight="1" x14ac:dyDescent="0.4">
      <c r="A162" s="9" t="str">
        <f t="shared" ca="1" si="28"/>
        <v/>
      </c>
      <c r="B162" s="6"/>
      <c r="C162" s="6"/>
      <c r="D162" s="6"/>
      <c r="E162" s="11"/>
      <c r="F162" s="11"/>
      <c r="G162" s="7"/>
      <c r="H162" s="21"/>
      <c r="I162" s="24" t="str">
        <f t="shared" si="33"/>
        <v/>
      </c>
      <c r="J162" s="25" t="str">
        <f t="shared" ca="1" si="34"/>
        <v/>
      </c>
      <c r="K162" s="22" t="str">
        <f t="shared" si="35"/>
        <v/>
      </c>
      <c r="L162" s="23" t="str">
        <f t="shared" ca="1" si="29"/>
        <v/>
      </c>
      <c r="M162" s="7"/>
      <c r="N162" s="10" t="str">
        <f t="shared" si="30"/>
        <v/>
      </c>
      <c r="O162" s="7"/>
      <c r="P162" s="12" t="str">
        <f t="shared" si="36"/>
        <v/>
      </c>
      <c r="Q162" s="13" t="str">
        <f t="shared" si="37"/>
        <v/>
      </c>
      <c r="R162" s="10" t="str">
        <f t="shared" si="31"/>
        <v/>
      </c>
      <c r="S162" s="7" t="s">
        <v>9</v>
      </c>
      <c r="T162" s="10" t="str">
        <f t="shared" si="32"/>
        <v/>
      </c>
      <c r="U162" s="7" t="s">
        <v>9</v>
      </c>
    </row>
    <row r="163" spans="1:21" s="2" customFormat="1" ht="12" customHeight="1" x14ac:dyDescent="0.4">
      <c r="A163" s="9" t="str">
        <f t="shared" ref="A163:A194" ca="1" si="38">IF(
    OR(
        $B163="",
        OFFSET($B163,-1,0)=""
    ),
    "",
    IF(
        OFFSET($B163,-1,0)=$B$2,
        1,
        OFFSET($A163,-1,0)+1
    )
)</f>
        <v/>
      </c>
      <c r="B163" s="6"/>
      <c r="C163" s="6"/>
      <c r="D163" s="6"/>
      <c r="E163" s="11"/>
      <c r="F163" s="11"/>
      <c r="G163" s="7"/>
      <c r="H163" s="21"/>
      <c r="I163" s="24" t="str">
        <f t="shared" si="33"/>
        <v/>
      </c>
      <c r="J163" s="25" t="str">
        <f t="shared" ca="1" si="34"/>
        <v/>
      </c>
      <c r="K163" s="22" t="str">
        <f t="shared" si="35"/>
        <v/>
      </c>
      <c r="L163" s="23" t="str">
        <f t="shared" ca="1" si="29"/>
        <v/>
      </c>
      <c r="M163" s="7"/>
      <c r="N163" s="10" t="str">
        <f t="shared" ref="N163:N194" si="39">IF(
    B163="",
    "",
    K163&amp;CHAR(9)&amp;L163&amp;CHAR(9)&amp;"L"&amp;TEXT($A163,"000")
)</f>
        <v/>
      </c>
      <c r="O163" s="7"/>
      <c r="P163" s="12" t="str">
        <f t="shared" si="36"/>
        <v/>
      </c>
      <c r="Q163" s="13" t="str">
        <f t="shared" si="37"/>
        <v/>
      </c>
      <c r="R163" s="10" t="str">
        <f t="shared" ref="R163:R194" si="40">IF(
    B163="",
    "",
    SUBSTITUTE($C163,"-","－")&amp;" - "&amp;
    SUBSTITUTE($B163,"-","－")&amp;" - "&amp;
    $I163
)</f>
        <v/>
      </c>
      <c r="S163" s="7" t="s">
        <v>9</v>
      </c>
      <c r="T163" s="10" t="str">
        <f t="shared" ref="T163:T194" si="41">IF(
    B163="",
    "",
    TEXT($A163,"00 ")&amp;B163&amp;CHAR(9)&amp;
    B163&amp;CHAR(9)&amp;
    C163&amp;CHAR(9)&amp;
    "Tatsuya Endo"&amp;CHAR(9)&amp;
    D163&amp;CHAR(9)&amp;
    A163&amp;CHAR(9)&amp;
    E163&amp;CHAR(9)&amp;
    F163&amp;CHAR(9)&amp;
    REPT(CHAR(9),9)
)</f>
        <v/>
      </c>
      <c r="U163" s="7" t="s">
        <v>9</v>
      </c>
    </row>
    <row r="164" spans="1:21" s="2" customFormat="1" ht="12" customHeight="1" x14ac:dyDescent="0.4">
      <c r="A164" s="9" t="str">
        <f t="shared" ca="1" si="38"/>
        <v/>
      </c>
      <c r="B164" s="6"/>
      <c r="C164" s="6"/>
      <c r="D164" s="6"/>
      <c r="E164" s="11"/>
      <c r="F164" s="11"/>
      <c r="G164" s="7"/>
      <c r="H164" s="21"/>
      <c r="I164" s="24" t="str">
        <f t="shared" si="33"/>
        <v/>
      </c>
      <c r="J164" s="25" t="str">
        <f t="shared" ca="1" si="34"/>
        <v/>
      </c>
      <c r="K164" s="22" t="str">
        <f t="shared" si="35"/>
        <v/>
      </c>
      <c r="L164" s="23" t="str">
        <f t="shared" ca="1" si="29"/>
        <v/>
      </c>
      <c r="M164" s="7"/>
      <c r="N164" s="10" t="str">
        <f t="shared" si="39"/>
        <v/>
      </c>
      <c r="O164" s="7"/>
      <c r="P164" s="12" t="str">
        <f t="shared" si="36"/>
        <v/>
      </c>
      <c r="Q164" s="13" t="str">
        <f t="shared" si="37"/>
        <v/>
      </c>
      <c r="R164" s="10" t="str">
        <f t="shared" si="40"/>
        <v/>
      </c>
      <c r="S164" s="7" t="s">
        <v>9</v>
      </c>
      <c r="T164" s="10" t="str">
        <f t="shared" si="41"/>
        <v/>
      </c>
      <c r="U164" s="7" t="s">
        <v>9</v>
      </c>
    </row>
    <row r="165" spans="1:21" s="2" customFormat="1" ht="12" customHeight="1" x14ac:dyDescent="0.4">
      <c r="A165" s="9" t="str">
        <f t="shared" ca="1" si="38"/>
        <v/>
      </c>
      <c r="B165" s="6"/>
      <c r="C165" s="6"/>
      <c r="D165" s="6"/>
      <c r="E165" s="11"/>
      <c r="F165" s="11"/>
      <c r="G165" s="7"/>
      <c r="H165" s="21"/>
      <c r="I165" s="24" t="str">
        <f t="shared" si="33"/>
        <v/>
      </c>
      <c r="J165" s="25" t="str">
        <f t="shared" ca="1" si="34"/>
        <v/>
      </c>
      <c r="K165" s="22" t="str">
        <f t="shared" si="35"/>
        <v/>
      </c>
      <c r="L165" s="23" t="str">
        <f t="shared" ca="1" si="29"/>
        <v/>
      </c>
      <c r="M165" s="7"/>
      <c r="N165" s="10" t="str">
        <f t="shared" si="39"/>
        <v/>
      </c>
      <c r="O165" s="7"/>
      <c r="P165" s="12" t="str">
        <f t="shared" si="36"/>
        <v/>
      </c>
      <c r="Q165" s="13" t="str">
        <f t="shared" si="37"/>
        <v/>
      </c>
      <c r="R165" s="10" t="str">
        <f t="shared" si="40"/>
        <v/>
      </c>
      <c r="S165" s="7" t="s">
        <v>9</v>
      </c>
      <c r="T165" s="10" t="str">
        <f t="shared" si="41"/>
        <v/>
      </c>
      <c r="U165" s="7" t="s">
        <v>9</v>
      </c>
    </row>
    <row r="166" spans="1:21" s="2" customFormat="1" ht="12" customHeight="1" x14ac:dyDescent="0.4">
      <c r="A166" s="9" t="str">
        <f t="shared" ca="1" si="38"/>
        <v/>
      </c>
      <c r="B166" s="6"/>
      <c r="C166" s="6"/>
      <c r="D166" s="6"/>
      <c r="E166" s="11"/>
      <c r="F166" s="11"/>
      <c r="G166" s="7"/>
      <c r="H166" s="21"/>
      <c r="I166" s="24" t="str">
        <f t="shared" si="33"/>
        <v/>
      </c>
      <c r="J166" s="25" t="str">
        <f t="shared" ca="1" si="34"/>
        <v/>
      </c>
      <c r="K166" s="22" t="str">
        <f t="shared" si="35"/>
        <v/>
      </c>
      <c r="L166" s="23" t="str">
        <f t="shared" ca="1" si="29"/>
        <v/>
      </c>
      <c r="M166" s="7"/>
      <c r="N166" s="10" t="str">
        <f t="shared" si="39"/>
        <v/>
      </c>
      <c r="O166" s="7"/>
      <c r="P166" s="12" t="str">
        <f t="shared" si="36"/>
        <v/>
      </c>
      <c r="Q166" s="13" t="str">
        <f t="shared" si="37"/>
        <v/>
      </c>
      <c r="R166" s="10" t="str">
        <f t="shared" si="40"/>
        <v/>
      </c>
      <c r="S166" s="7" t="s">
        <v>9</v>
      </c>
      <c r="T166" s="10" t="str">
        <f t="shared" si="41"/>
        <v/>
      </c>
      <c r="U166" s="7" t="s">
        <v>9</v>
      </c>
    </row>
    <row r="167" spans="1:21" s="2" customFormat="1" ht="12" customHeight="1" x14ac:dyDescent="0.4">
      <c r="A167" s="9" t="str">
        <f t="shared" ca="1" si="38"/>
        <v/>
      </c>
      <c r="B167" s="6"/>
      <c r="C167" s="6"/>
      <c r="D167" s="6"/>
      <c r="E167" s="11"/>
      <c r="F167" s="11"/>
      <c r="G167" s="7"/>
      <c r="H167" s="21"/>
      <c r="I167" s="24" t="str">
        <f t="shared" si="33"/>
        <v/>
      </c>
      <c r="J167" s="25" t="str">
        <f t="shared" ca="1" si="34"/>
        <v/>
      </c>
      <c r="K167" s="22" t="str">
        <f t="shared" si="35"/>
        <v/>
      </c>
      <c r="L167" s="23" t="str">
        <f t="shared" ca="1" si="29"/>
        <v/>
      </c>
      <c r="M167" s="7"/>
      <c r="N167" s="10" t="str">
        <f t="shared" si="39"/>
        <v/>
      </c>
      <c r="O167" s="7"/>
      <c r="P167" s="12" t="str">
        <f t="shared" si="36"/>
        <v/>
      </c>
      <c r="Q167" s="13" t="str">
        <f t="shared" si="37"/>
        <v/>
      </c>
      <c r="R167" s="10" t="str">
        <f t="shared" si="40"/>
        <v/>
      </c>
      <c r="S167" s="7" t="s">
        <v>9</v>
      </c>
      <c r="T167" s="10" t="str">
        <f t="shared" si="41"/>
        <v/>
      </c>
      <c r="U167" s="7" t="s">
        <v>9</v>
      </c>
    </row>
    <row r="168" spans="1:21" s="2" customFormat="1" ht="12" customHeight="1" x14ac:dyDescent="0.4">
      <c r="A168" s="9" t="str">
        <f t="shared" ca="1" si="38"/>
        <v/>
      </c>
      <c r="B168" s="6"/>
      <c r="C168" s="6"/>
      <c r="D168" s="6"/>
      <c r="E168" s="11"/>
      <c r="F168" s="11"/>
      <c r="G168" s="7"/>
      <c r="H168" s="21"/>
      <c r="I168" s="24" t="str">
        <f t="shared" si="33"/>
        <v/>
      </c>
      <c r="J168" s="25" t="str">
        <f t="shared" ca="1" si="34"/>
        <v/>
      </c>
      <c r="K168" s="22" t="str">
        <f t="shared" si="35"/>
        <v/>
      </c>
      <c r="L168" s="23" t="str">
        <f t="shared" ca="1" si="29"/>
        <v/>
      </c>
      <c r="M168" s="7"/>
      <c r="N168" s="10" t="str">
        <f t="shared" si="39"/>
        <v/>
      </c>
      <c r="O168" s="7"/>
      <c r="P168" s="12" t="str">
        <f t="shared" si="36"/>
        <v/>
      </c>
      <c r="Q168" s="13" t="str">
        <f t="shared" si="37"/>
        <v/>
      </c>
      <c r="R168" s="10" t="str">
        <f t="shared" si="40"/>
        <v/>
      </c>
      <c r="S168" s="7" t="s">
        <v>9</v>
      </c>
      <c r="T168" s="10" t="str">
        <f t="shared" si="41"/>
        <v/>
      </c>
      <c r="U168" s="7" t="s">
        <v>9</v>
      </c>
    </row>
    <row r="169" spans="1:21" s="2" customFormat="1" ht="12" customHeight="1" x14ac:dyDescent="0.4">
      <c r="A169" s="9" t="str">
        <f t="shared" ca="1" si="38"/>
        <v/>
      </c>
      <c r="B169" s="6"/>
      <c r="C169" s="6"/>
      <c r="D169" s="6"/>
      <c r="E169" s="11"/>
      <c r="F169" s="11"/>
      <c r="G169" s="7"/>
      <c r="H169" s="21"/>
      <c r="I169" s="24" t="str">
        <f t="shared" si="33"/>
        <v/>
      </c>
      <c r="J169" s="25" t="str">
        <f t="shared" ca="1" si="34"/>
        <v/>
      </c>
      <c r="K169" s="22" t="str">
        <f t="shared" si="35"/>
        <v/>
      </c>
      <c r="L169" s="23" t="str">
        <f t="shared" ca="1" si="29"/>
        <v/>
      </c>
      <c r="M169" s="7"/>
      <c r="N169" s="10" t="str">
        <f t="shared" si="39"/>
        <v/>
      </c>
      <c r="O169" s="7"/>
      <c r="P169" s="12" t="str">
        <f t="shared" si="36"/>
        <v/>
      </c>
      <c r="Q169" s="13" t="str">
        <f t="shared" si="37"/>
        <v/>
      </c>
      <c r="R169" s="10" t="str">
        <f t="shared" si="40"/>
        <v/>
      </c>
      <c r="S169" s="7" t="s">
        <v>9</v>
      </c>
      <c r="T169" s="10" t="str">
        <f t="shared" si="41"/>
        <v/>
      </c>
      <c r="U169" s="7" t="s">
        <v>9</v>
      </c>
    </row>
    <row r="170" spans="1:21" s="2" customFormat="1" ht="12" customHeight="1" x14ac:dyDescent="0.4">
      <c r="A170" s="9" t="str">
        <f t="shared" ca="1" si="38"/>
        <v/>
      </c>
      <c r="B170" s="6"/>
      <c r="C170" s="6"/>
      <c r="D170" s="6"/>
      <c r="E170" s="11"/>
      <c r="F170" s="11"/>
      <c r="G170" s="7"/>
      <c r="H170" s="21"/>
      <c r="I170" s="24" t="str">
        <f t="shared" si="33"/>
        <v/>
      </c>
      <c r="J170" s="25" t="str">
        <f t="shared" ca="1" si="34"/>
        <v/>
      </c>
      <c r="K170" s="22" t="str">
        <f t="shared" si="35"/>
        <v/>
      </c>
      <c r="L170" s="23" t="str">
        <f t="shared" ca="1" si="29"/>
        <v/>
      </c>
      <c r="M170" s="7"/>
      <c r="N170" s="10" t="str">
        <f t="shared" si="39"/>
        <v/>
      </c>
      <c r="O170" s="7"/>
      <c r="P170" s="12" t="str">
        <f t="shared" si="36"/>
        <v/>
      </c>
      <c r="Q170" s="13" t="str">
        <f t="shared" si="37"/>
        <v/>
      </c>
      <c r="R170" s="10" t="str">
        <f t="shared" si="40"/>
        <v/>
      </c>
      <c r="S170" s="7" t="s">
        <v>9</v>
      </c>
      <c r="T170" s="10" t="str">
        <f t="shared" si="41"/>
        <v/>
      </c>
      <c r="U170" s="7" t="s">
        <v>9</v>
      </c>
    </row>
    <row r="171" spans="1:21" s="2" customFormat="1" ht="12" customHeight="1" x14ac:dyDescent="0.4">
      <c r="A171" s="9" t="str">
        <f t="shared" ca="1" si="38"/>
        <v/>
      </c>
      <c r="B171" s="6"/>
      <c r="C171" s="6"/>
      <c r="D171" s="6"/>
      <c r="E171" s="11"/>
      <c r="F171" s="11"/>
      <c r="G171" s="7"/>
      <c r="H171" s="21"/>
      <c r="I171" s="24" t="str">
        <f t="shared" si="33"/>
        <v/>
      </c>
      <c r="J171" s="25" t="str">
        <f t="shared" ca="1" si="34"/>
        <v/>
      </c>
      <c r="K171" s="22" t="str">
        <f t="shared" si="35"/>
        <v/>
      </c>
      <c r="L171" s="23" t="str">
        <f t="shared" ca="1" si="29"/>
        <v/>
      </c>
      <c r="M171" s="7"/>
      <c r="N171" s="10" t="str">
        <f t="shared" si="39"/>
        <v/>
      </c>
      <c r="O171" s="7"/>
      <c r="P171" s="12" t="str">
        <f t="shared" si="36"/>
        <v/>
      </c>
      <c r="Q171" s="13" t="str">
        <f t="shared" si="37"/>
        <v/>
      </c>
      <c r="R171" s="10" t="str">
        <f t="shared" si="40"/>
        <v/>
      </c>
      <c r="S171" s="7" t="s">
        <v>9</v>
      </c>
      <c r="T171" s="10" t="str">
        <f t="shared" si="41"/>
        <v/>
      </c>
      <c r="U171" s="7" t="s">
        <v>9</v>
      </c>
    </row>
    <row r="172" spans="1:21" s="2" customFormat="1" ht="12" customHeight="1" x14ac:dyDescent="0.4">
      <c r="A172" s="9" t="str">
        <f t="shared" ca="1" si="38"/>
        <v/>
      </c>
      <c r="B172" s="6"/>
      <c r="C172" s="6"/>
      <c r="D172" s="6"/>
      <c r="E172" s="11"/>
      <c r="F172" s="11"/>
      <c r="G172" s="7"/>
      <c r="H172" s="21"/>
      <c r="I172" s="24" t="str">
        <f t="shared" si="33"/>
        <v/>
      </c>
      <c r="J172" s="25" t="str">
        <f t="shared" ca="1" si="34"/>
        <v/>
      </c>
      <c r="K172" s="22" t="str">
        <f t="shared" si="35"/>
        <v/>
      </c>
      <c r="L172" s="23" t="str">
        <f t="shared" ca="1" si="29"/>
        <v/>
      </c>
      <c r="M172" s="7"/>
      <c r="N172" s="10" t="str">
        <f t="shared" si="39"/>
        <v/>
      </c>
      <c r="O172" s="7"/>
      <c r="P172" s="12" t="str">
        <f t="shared" si="36"/>
        <v/>
      </c>
      <c r="Q172" s="13" t="str">
        <f t="shared" si="37"/>
        <v/>
      </c>
      <c r="R172" s="10" t="str">
        <f t="shared" si="40"/>
        <v/>
      </c>
      <c r="S172" s="7" t="s">
        <v>9</v>
      </c>
      <c r="T172" s="10" t="str">
        <f t="shared" si="41"/>
        <v/>
      </c>
      <c r="U172" s="7" t="s">
        <v>9</v>
      </c>
    </row>
    <row r="173" spans="1:21" s="2" customFormat="1" ht="12" customHeight="1" x14ac:dyDescent="0.4">
      <c r="A173" s="9" t="str">
        <f t="shared" ca="1" si="38"/>
        <v/>
      </c>
      <c r="B173" s="6"/>
      <c r="C173" s="6"/>
      <c r="D173" s="6"/>
      <c r="E173" s="11"/>
      <c r="F173" s="11"/>
      <c r="G173" s="7"/>
      <c r="H173" s="21"/>
      <c r="I173" s="24" t="str">
        <f t="shared" si="33"/>
        <v/>
      </c>
      <c r="J173" s="25" t="str">
        <f t="shared" ca="1" si="34"/>
        <v/>
      </c>
      <c r="K173" s="22" t="str">
        <f t="shared" si="35"/>
        <v/>
      </c>
      <c r="L173" s="23" t="str">
        <f t="shared" ca="1" si="29"/>
        <v/>
      </c>
      <c r="M173" s="7"/>
      <c r="N173" s="10" t="str">
        <f t="shared" si="39"/>
        <v/>
      </c>
      <c r="O173" s="7"/>
      <c r="P173" s="12" t="str">
        <f t="shared" si="36"/>
        <v/>
      </c>
      <c r="Q173" s="13" t="str">
        <f t="shared" si="37"/>
        <v/>
      </c>
      <c r="R173" s="10" t="str">
        <f t="shared" si="40"/>
        <v/>
      </c>
      <c r="S173" s="7" t="s">
        <v>9</v>
      </c>
      <c r="T173" s="10" t="str">
        <f t="shared" si="41"/>
        <v/>
      </c>
      <c r="U173" s="7" t="s">
        <v>9</v>
      </c>
    </row>
    <row r="174" spans="1:21" s="2" customFormat="1" ht="12" customHeight="1" x14ac:dyDescent="0.4">
      <c r="A174" s="9" t="str">
        <f t="shared" ca="1" si="38"/>
        <v/>
      </c>
      <c r="B174" s="6"/>
      <c r="C174" s="6"/>
      <c r="D174" s="6"/>
      <c r="E174" s="11"/>
      <c r="F174" s="11"/>
      <c r="G174" s="7"/>
      <c r="H174" s="21"/>
      <c r="I174" s="24" t="str">
        <f t="shared" si="33"/>
        <v/>
      </c>
      <c r="J174" s="25" t="str">
        <f t="shared" ca="1" si="34"/>
        <v/>
      </c>
      <c r="K174" s="22" t="str">
        <f t="shared" si="35"/>
        <v/>
      </c>
      <c r="L174" s="23" t="str">
        <f t="shared" ca="1" si="29"/>
        <v/>
      </c>
      <c r="M174" s="7"/>
      <c r="N174" s="10" t="str">
        <f t="shared" si="39"/>
        <v/>
      </c>
      <c r="O174" s="7"/>
      <c r="P174" s="12" t="str">
        <f t="shared" si="36"/>
        <v/>
      </c>
      <c r="Q174" s="13" t="str">
        <f t="shared" si="37"/>
        <v/>
      </c>
      <c r="R174" s="10" t="str">
        <f t="shared" si="40"/>
        <v/>
      </c>
      <c r="S174" s="7" t="s">
        <v>9</v>
      </c>
      <c r="T174" s="10" t="str">
        <f t="shared" si="41"/>
        <v/>
      </c>
      <c r="U174" s="7" t="s">
        <v>9</v>
      </c>
    </row>
    <row r="175" spans="1:21" s="2" customFormat="1" ht="12" customHeight="1" x14ac:dyDescent="0.4">
      <c r="A175" s="9" t="str">
        <f t="shared" ca="1" si="38"/>
        <v/>
      </c>
      <c r="B175" s="6"/>
      <c r="C175" s="6"/>
      <c r="D175" s="6"/>
      <c r="E175" s="11"/>
      <c r="F175" s="11"/>
      <c r="G175" s="7"/>
      <c r="H175" s="21"/>
      <c r="I175" s="24" t="str">
        <f t="shared" si="33"/>
        <v/>
      </c>
      <c r="J175" s="25" t="str">
        <f t="shared" ca="1" si="34"/>
        <v/>
      </c>
      <c r="K175" s="22" t="str">
        <f t="shared" si="35"/>
        <v/>
      </c>
      <c r="L175" s="23" t="str">
        <f t="shared" ca="1" si="29"/>
        <v/>
      </c>
      <c r="M175" s="7"/>
      <c r="N175" s="10" t="str">
        <f t="shared" si="39"/>
        <v/>
      </c>
      <c r="O175" s="7"/>
      <c r="P175" s="12" t="str">
        <f t="shared" si="36"/>
        <v/>
      </c>
      <c r="Q175" s="13" t="str">
        <f t="shared" si="37"/>
        <v/>
      </c>
      <c r="R175" s="10" t="str">
        <f t="shared" si="40"/>
        <v/>
      </c>
      <c r="S175" s="7" t="s">
        <v>9</v>
      </c>
      <c r="T175" s="10" t="str">
        <f t="shared" si="41"/>
        <v/>
      </c>
      <c r="U175" s="7" t="s">
        <v>9</v>
      </c>
    </row>
    <row r="176" spans="1:21" s="2" customFormat="1" ht="12" customHeight="1" x14ac:dyDescent="0.4">
      <c r="A176" s="9" t="str">
        <f t="shared" ca="1" si="38"/>
        <v/>
      </c>
      <c r="B176" s="6"/>
      <c r="C176" s="6"/>
      <c r="D176" s="6"/>
      <c r="E176" s="11"/>
      <c r="F176" s="11"/>
      <c r="G176" s="7"/>
      <c r="H176" s="21"/>
      <c r="I176" s="24" t="str">
        <f t="shared" si="33"/>
        <v/>
      </c>
      <c r="J176" s="25" t="str">
        <f t="shared" ca="1" si="34"/>
        <v/>
      </c>
      <c r="K176" s="22" t="str">
        <f t="shared" si="35"/>
        <v/>
      </c>
      <c r="L176" s="23" t="str">
        <f t="shared" ca="1" si="29"/>
        <v/>
      </c>
      <c r="M176" s="7"/>
      <c r="N176" s="10" t="str">
        <f t="shared" si="39"/>
        <v/>
      </c>
      <c r="O176" s="7"/>
      <c r="P176" s="12" t="str">
        <f t="shared" si="36"/>
        <v/>
      </c>
      <c r="Q176" s="13" t="str">
        <f t="shared" si="37"/>
        <v/>
      </c>
      <c r="R176" s="10" t="str">
        <f t="shared" si="40"/>
        <v/>
      </c>
      <c r="S176" s="7" t="s">
        <v>9</v>
      </c>
      <c r="T176" s="10" t="str">
        <f t="shared" si="41"/>
        <v/>
      </c>
      <c r="U176" s="7" t="s">
        <v>9</v>
      </c>
    </row>
    <row r="177" spans="1:21" s="2" customFormat="1" ht="12" customHeight="1" x14ac:dyDescent="0.4">
      <c r="A177" s="9" t="str">
        <f t="shared" ca="1" si="38"/>
        <v/>
      </c>
      <c r="B177" s="6"/>
      <c r="C177" s="6"/>
      <c r="D177" s="6"/>
      <c r="E177" s="11"/>
      <c r="F177" s="11"/>
      <c r="G177" s="7"/>
      <c r="H177" s="21"/>
      <c r="I177" s="24" t="str">
        <f t="shared" si="33"/>
        <v/>
      </c>
      <c r="J177" s="25" t="str">
        <f t="shared" ca="1" si="34"/>
        <v/>
      </c>
      <c r="K177" s="22" t="str">
        <f t="shared" si="35"/>
        <v/>
      </c>
      <c r="L177" s="23" t="str">
        <f t="shared" ca="1" si="29"/>
        <v/>
      </c>
      <c r="M177" s="7"/>
      <c r="N177" s="10" t="str">
        <f t="shared" si="39"/>
        <v/>
      </c>
      <c r="O177" s="7"/>
      <c r="P177" s="12" t="str">
        <f t="shared" si="36"/>
        <v/>
      </c>
      <c r="Q177" s="13" t="str">
        <f t="shared" si="37"/>
        <v/>
      </c>
      <c r="R177" s="10" t="str">
        <f t="shared" si="40"/>
        <v/>
      </c>
      <c r="S177" s="7" t="s">
        <v>9</v>
      </c>
      <c r="T177" s="10" t="str">
        <f t="shared" si="41"/>
        <v/>
      </c>
      <c r="U177" s="7" t="s">
        <v>9</v>
      </c>
    </row>
    <row r="178" spans="1:21" s="2" customFormat="1" ht="12" customHeight="1" x14ac:dyDescent="0.4">
      <c r="A178" s="9" t="str">
        <f t="shared" ca="1" si="38"/>
        <v/>
      </c>
      <c r="B178" s="6"/>
      <c r="C178" s="6"/>
      <c r="D178" s="6"/>
      <c r="E178" s="11"/>
      <c r="F178" s="11"/>
      <c r="G178" s="7"/>
      <c r="H178" s="21"/>
      <c r="I178" s="24" t="str">
        <f t="shared" si="33"/>
        <v/>
      </c>
      <c r="J178" s="25" t="str">
        <f t="shared" ca="1" si="34"/>
        <v/>
      </c>
      <c r="K178" s="22" t="str">
        <f t="shared" si="35"/>
        <v/>
      </c>
      <c r="L178" s="23" t="str">
        <f t="shared" ca="1" si="29"/>
        <v/>
      </c>
      <c r="M178" s="7"/>
      <c r="N178" s="10" t="str">
        <f t="shared" si="39"/>
        <v/>
      </c>
      <c r="O178" s="7"/>
      <c r="P178" s="12" t="str">
        <f t="shared" si="36"/>
        <v/>
      </c>
      <c r="Q178" s="13" t="str">
        <f t="shared" si="37"/>
        <v/>
      </c>
      <c r="R178" s="10" t="str">
        <f t="shared" si="40"/>
        <v/>
      </c>
      <c r="S178" s="7" t="s">
        <v>9</v>
      </c>
      <c r="T178" s="10" t="str">
        <f t="shared" si="41"/>
        <v/>
      </c>
      <c r="U178" s="7" t="s">
        <v>9</v>
      </c>
    </row>
    <row r="179" spans="1:21" s="2" customFormat="1" ht="12" customHeight="1" x14ac:dyDescent="0.4">
      <c r="A179" s="9" t="str">
        <f t="shared" ca="1" si="38"/>
        <v/>
      </c>
      <c r="B179" s="6"/>
      <c r="C179" s="6"/>
      <c r="D179" s="6"/>
      <c r="E179" s="11"/>
      <c r="F179" s="11"/>
      <c r="G179" s="7"/>
      <c r="H179" s="21"/>
      <c r="I179" s="24" t="str">
        <f t="shared" si="33"/>
        <v/>
      </c>
      <c r="J179" s="25" t="str">
        <f t="shared" ca="1" si="34"/>
        <v/>
      </c>
      <c r="K179" s="22" t="str">
        <f t="shared" si="35"/>
        <v/>
      </c>
      <c r="L179" s="23" t="str">
        <f t="shared" ca="1" si="29"/>
        <v/>
      </c>
      <c r="M179" s="7"/>
      <c r="N179" s="10" t="str">
        <f t="shared" si="39"/>
        <v/>
      </c>
      <c r="O179" s="7"/>
      <c r="P179" s="12" t="str">
        <f t="shared" si="36"/>
        <v/>
      </c>
      <c r="Q179" s="13" t="str">
        <f t="shared" si="37"/>
        <v/>
      </c>
      <c r="R179" s="10" t="str">
        <f t="shared" si="40"/>
        <v/>
      </c>
      <c r="S179" s="7" t="s">
        <v>9</v>
      </c>
      <c r="T179" s="10" t="str">
        <f t="shared" si="41"/>
        <v/>
      </c>
      <c r="U179" s="7" t="s">
        <v>9</v>
      </c>
    </row>
    <row r="180" spans="1:21" s="2" customFormat="1" ht="12" customHeight="1" x14ac:dyDescent="0.4">
      <c r="A180" s="9" t="str">
        <f t="shared" ca="1" si="38"/>
        <v/>
      </c>
      <c r="B180" s="6"/>
      <c r="C180" s="6"/>
      <c r="D180" s="6"/>
      <c r="E180" s="11"/>
      <c r="F180" s="11"/>
      <c r="G180" s="7"/>
      <c r="H180" s="21"/>
      <c r="I180" s="24" t="str">
        <f t="shared" si="33"/>
        <v/>
      </c>
      <c r="J180" s="25" t="str">
        <f t="shared" ca="1" si="34"/>
        <v/>
      </c>
      <c r="K180" s="22" t="str">
        <f t="shared" si="35"/>
        <v/>
      </c>
      <c r="L180" s="23" t="str">
        <f t="shared" ca="1" si="29"/>
        <v/>
      </c>
      <c r="M180" s="7"/>
      <c r="N180" s="10" t="str">
        <f t="shared" si="39"/>
        <v/>
      </c>
      <c r="O180" s="7"/>
      <c r="P180" s="12" t="str">
        <f t="shared" si="36"/>
        <v/>
      </c>
      <c r="Q180" s="13" t="str">
        <f t="shared" si="37"/>
        <v/>
      </c>
      <c r="R180" s="10" t="str">
        <f t="shared" si="40"/>
        <v/>
      </c>
      <c r="S180" s="7" t="s">
        <v>9</v>
      </c>
      <c r="T180" s="10" t="str">
        <f t="shared" si="41"/>
        <v/>
      </c>
      <c r="U180" s="7" t="s">
        <v>9</v>
      </c>
    </row>
    <row r="181" spans="1:21" s="2" customFormat="1" ht="12" customHeight="1" x14ac:dyDescent="0.4">
      <c r="A181" s="9" t="str">
        <f t="shared" ca="1" si="38"/>
        <v/>
      </c>
      <c r="B181" s="6"/>
      <c r="C181" s="6"/>
      <c r="D181" s="6"/>
      <c r="E181" s="11"/>
      <c r="F181" s="11"/>
      <c r="G181" s="7"/>
      <c r="H181" s="21"/>
      <c r="I181" s="24" t="str">
        <f t="shared" si="33"/>
        <v/>
      </c>
      <c r="J181" s="25" t="str">
        <f t="shared" ca="1" si="34"/>
        <v/>
      </c>
      <c r="K181" s="22" t="str">
        <f t="shared" si="35"/>
        <v/>
      </c>
      <c r="L181" s="23" t="str">
        <f t="shared" ca="1" si="29"/>
        <v/>
      </c>
      <c r="M181" s="7"/>
      <c r="N181" s="10" t="str">
        <f t="shared" si="39"/>
        <v/>
      </c>
      <c r="O181" s="7"/>
      <c r="P181" s="12" t="str">
        <f t="shared" si="36"/>
        <v/>
      </c>
      <c r="Q181" s="13" t="str">
        <f t="shared" si="37"/>
        <v/>
      </c>
      <c r="R181" s="10" t="str">
        <f t="shared" si="40"/>
        <v/>
      </c>
      <c r="S181" s="7" t="s">
        <v>9</v>
      </c>
      <c r="T181" s="10" t="str">
        <f t="shared" si="41"/>
        <v/>
      </c>
      <c r="U181" s="7" t="s">
        <v>9</v>
      </c>
    </row>
    <row r="182" spans="1:21" s="2" customFormat="1" ht="12" customHeight="1" x14ac:dyDescent="0.4">
      <c r="A182" s="9" t="str">
        <f t="shared" ca="1" si="38"/>
        <v/>
      </c>
      <c r="B182" s="6"/>
      <c r="C182" s="6"/>
      <c r="D182" s="6"/>
      <c r="E182" s="11"/>
      <c r="F182" s="11"/>
      <c r="G182" s="7"/>
      <c r="H182" s="21"/>
      <c r="I182" s="24" t="str">
        <f t="shared" si="33"/>
        <v/>
      </c>
      <c r="J182" s="25" t="str">
        <f t="shared" ca="1" si="34"/>
        <v/>
      </c>
      <c r="K182" s="22" t="str">
        <f t="shared" si="35"/>
        <v/>
      </c>
      <c r="L182" s="23" t="str">
        <f t="shared" ca="1" si="29"/>
        <v/>
      </c>
      <c r="M182" s="7"/>
      <c r="N182" s="10" t="str">
        <f t="shared" si="39"/>
        <v/>
      </c>
      <c r="O182" s="7"/>
      <c r="P182" s="12" t="str">
        <f t="shared" si="36"/>
        <v/>
      </c>
      <c r="Q182" s="13" t="str">
        <f t="shared" si="37"/>
        <v/>
      </c>
      <c r="R182" s="10" t="str">
        <f t="shared" si="40"/>
        <v/>
      </c>
      <c r="S182" s="7" t="s">
        <v>9</v>
      </c>
      <c r="T182" s="10" t="str">
        <f t="shared" si="41"/>
        <v/>
      </c>
      <c r="U182" s="7" t="s">
        <v>9</v>
      </c>
    </row>
    <row r="183" spans="1:21" s="2" customFormat="1" ht="12" customHeight="1" x14ac:dyDescent="0.4">
      <c r="A183" s="9" t="str">
        <f t="shared" ca="1" si="38"/>
        <v/>
      </c>
      <c r="B183" s="6"/>
      <c r="C183" s="6"/>
      <c r="D183" s="6"/>
      <c r="E183" s="11"/>
      <c r="F183" s="11"/>
      <c r="G183" s="7"/>
      <c r="H183" s="21"/>
      <c r="I183" s="24" t="str">
        <f t="shared" si="33"/>
        <v/>
      </c>
      <c r="J183" s="25" t="str">
        <f t="shared" ca="1" si="34"/>
        <v/>
      </c>
      <c r="K183" s="22" t="str">
        <f t="shared" si="35"/>
        <v/>
      </c>
      <c r="L183" s="23" t="str">
        <f t="shared" ca="1" si="29"/>
        <v/>
      </c>
      <c r="M183" s="7"/>
      <c r="N183" s="10" t="str">
        <f t="shared" si="39"/>
        <v/>
      </c>
      <c r="O183" s="7"/>
      <c r="P183" s="12" t="str">
        <f t="shared" si="36"/>
        <v/>
      </c>
      <c r="Q183" s="13" t="str">
        <f t="shared" si="37"/>
        <v/>
      </c>
      <c r="R183" s="10" t="str">
        <f t="shared" si="40"/>
        <v/>
      </c>
      <c r="S183" s="7" t="s">
        <v>9</v>
      </c>
      <c r="T183" s="10" t="str">
        <f t="shared" si="41"/>
        <v/>
      </c>
      <c r="U183" s="7" t="s">
        <v>9</v>
      </c>
    </row>
    <row r="184" spans="1:21" s="2" customFormat="1" ht="12" customHeight="1" x14ac:dyDescent="0.4">
      <c r="A184" s="9" t="str">
        <f t="shared" ca="1" si="38"/>
        <v/>
      </c>
      <c r="B184" s="6"/>
      <c r="C184" s="6"/>
      <c r="D184" s="6"/>
      <c r="E184" s="11"/>
      <c r="F184" s="11"/>
      <c r="G184" s="7"/>
      <c r="H184" s="21"/>
      <c r="I184" s="24" t="str">
        <f t="shared" si="33"/>
        <v/>
      </c>
      <c r="J184" s="25" t="str">
        <f t="shared" ca="1" si="34"/>
        <v/>
      </c>
      <c r="K184" s="22" t="str">
        <f t="shared" si="35"/>
        <v/>
      </c>
      <c r="L184" s="23" t="str">
        <f t="shared" ca="1" si="29"/>
        <v/>
      </c>
      <c r="M184" s="7"/>
      <c r="N184" s="10" t="str">
        <f t="shared" si="39"/>
        <v/>
      </c>
      <c r="O184" s="7"/>
      <c r="P184" s="12" t="str">
        <f t="shared" si="36"/>
        <v/>
      </c>
      <c r="Q184" s="13" t="str">
        <f t="shared" si="37"/>
        <v/>
      </c>
      <c r="R184" s="10" t="str">
        <f t="shared" si="40"/>
        <v/>
      </c>
      <c r="S184" s="7" t="s">
        <v>9</v>
      </c>
      <c r="T184" s="10" t="str">
        <f t="shared" si="41"/>
        <v/>
      </c>
      <c r="U184" s="7" t="s">
        <v>9</v>
      </c>
    </row>
    <row r="185" spans="1:21" s="2" customFormat="1" ht="12" customHeight="1" x14ac:dyDescent="0.4">
      <c r="A185" s="9" t="str">
        <f t="shared" ca="1" si="38"/>
        <v/>
      </c>
      <c r="B185" s="6"/>
      <c r="C185" s="6"/>
      <c r="D185" s="6"/>
      <c r="E185" s="11"/>
      <c r="F185" s="11"/>
      <c r="G185" s="7"/>
      <c r="H185" s="21"/>
      <c r="I185" s="24" t="str">
        <f t="shared" si="33"/>
        <v/>
      </c>
      <c r="J185" s="25" t="str">
        <f t="shared" ca="1" si="34"/>
        <v/>
      </c>
      <c r="K185" s="22" t="str">
        <f t="shared" si="35"/>
        <v/>
      </c>
      <c r="L185" s="23" t="str">
        <f t="shared" ca="1" si="29"/>
        <v/>
      </c>
      <c r="M185" s="7"/>
      <c r="N185" s="10" t="str">
        <f t="shared" si="39"/>
        <v/>
      </c>
      <c r="O185" s="7"/>
      <c r="P185" s="12" t="str">
        <f t="shared" si="36"/>
        <v/>
      </c>
      <c r="Q185" s="13" t="str">
        <f t="shared" si="37"/>
        <v/>
      </c>
      <c r="R185" s="10" t="str">
        <f t="shared" si="40"/>
        <v/>
      </c>
      <c r="S185" s="7" t="s">
        <v>9</v>
      </c>
      <c r="T185" s="10" t="str">
        <f t="shared" si="41"/>
        <v/>
      </c>
      <c r="U185" s="7" t="s">
        <v>9</v>
      </c>
    </row>
    <row r="186" spans="1:21" s="2" customFormat="1" ht="12" customHeight="1" x14ac:dyDescent="0.4">
      <c r="A186" s="9" t="str">
        <f t="shared" ca="1" si="38"/>
        <v/>
      </c>
      <c r="B186" s="6"/>
      <c r="C186" s="6"/>
      <c r="D186" s="6"/>
      <c r="E186" s="11"/>
      <c r="F186" s="11"/>
      <c r="G186" s="7"/>
      <c r="H186" s="21"/>
      <c r="I186" s="24" t="str">
        <f t="shared" si="33"/>
        <v/>
      </c>
      <c r="J186" s="25" t="str">
        <f t="shared" ca="1" si="34"/>
        <v/>
      </c>
      <c r="K186" s="22" t="str">
        <f t="shared" si="35"/>
        <v/>
      </c>
      <c r="L186" s="23" t="str">
        <f t="shared" ca="1" si="29"/>
        <v/>
      </c>
      <c r="M186" s="7"/>
      <c r="N186" s="10" t="str">
        <f t="shared" si="39"/>
        <v/>
      </c>
      <c r="O186" s="7"/>
      <c r="P186" s="12" t="str">
        <f t="shared" si="36"/>
        <v/>
      </c>
      <c r="Q186" s="13" t="str">
        <f t="shared" si="37"/>
        <v/>
      </c>
      <c r="R186" s="10" t="str">
        <f t="shared" si="40"/>
        <v/>
      </c>
      <c r="S186" s="7" t="s">
        <v>9</v>
      </c>
      <c r="T186" s="10" t="str">
        <f t="shared" si="41"/>
        <v/>
      </c>
      <c r="U186" s="7" t="s">
        <v>9</v>
      </c>
    </row>
    <row r="187" spans="1:21" s="2" customFormat="1" ht="12" customHeight="1" x14ac:dyDescent="0.4">
      <c r="A187" s="9" t="str">
        <f t="shared" ca="1" si="38"/>
        <v/>
      </c>
      <c r="B187" s="6"/>
      <c r="C187" s="6"/>
      <c r="D187" s="6"/>
      <c r="E187" s="11"/>
      <c r="F187" s="11"/>
      <c r="G187" s="7"/>
      <c r="H187" s="21"/>
      <c r="I187" s="24" t="str">
        <f t="shared" si="33"/>
        <v/>
      </c>
      <c r="J187" s="25" t="str">
        <f t="shared" ca="1" si="34"/>
        <v/>
      </c>
      <c r="K187" s="22" t="str">
        <f t="shared" si="35"/>
        <v/>
      </c>
      <c r="L187" s="23" t="str">
        <f t="shared" ca="1" si="29"/>
        <v/>
      </c>
      <c r="M187" s="7"/>
      <c r="N187" s="10" t="str">
        <f t="shared" si="39"/>
        <v/>
      </c>
      <c r="O187" s="7"/>
      <c r="P187" s="12" t="str">
        <f t="shared" si="36"/>
        <v/>
      </c>
      <c r="Q187" s="13" t="str">
        <f t="shared" si="37"/>
        <v/>
      </c>
      <c r="R187" s="10" t="str">
        <f t="shared" si="40"/>
        <v/>
      </c>
      <c r="S187" s="7" t="s">
        <v>9</v>
      </c>
      <c r="T187" s="10" t="str">
        <f t="shared" si="41"/>
        <v/>
      </c>
      <c r="U187" s="7" t="s">
        <v>9</v>
      </c>
    </row>
    <row r="188" spans="1:21" s="2" customFormat="1" ht="12" customHeight="1" x14ac:dyDescent="0.4">
      <c r="A188" s="9" t="str">
        <f t="shared" ca="1" si="38"/>
        <v/>
      </c>
      <c r="B188" s="6"/>
      <c r="C188" s="6"/>
      <c r="D188" s="6"/>
      <c r="E188" s="11"/>
      <c r="F188" s="11"/>
      <c r="G188" s="7"/>
      <c r="H188" s="21"/>
      <c r="I188" s="24" t="str">
        <f t="shared" si="33"/>
        <v/>
      </c>
      <c r="J188" s="25" t="str">
        <f t="shared" ca="1" si="34"/>
        <v/>
      </c>
      <c r="K188" s="22" t="str">
        <f t="shared" si="35"/>
        <v/>
      </c>
      <c r="L188" s="23" t="str">
        <f t="shared" ca="1" si="29"/>
        <v/>
      </c>
      <c r="M188" s="7"/>
      <c r="N188" s="10" t="str">
        <f t="shared" si="39"/>
        <v/>
      </c>
      <c r="O188" s="7"/>
      <c r="P188" s="12" t="str">
        <f t="shared" si="36"/>
        <v/>
      </c>
      <c r="Q188" s="13" t="str">
        <f t="shared" si="37"/>
        <v/>
      </c>
      <c r="R188" s="10" t="str">
        <f t="shared" si="40"/>
        <v/>
      </c>
      <c r="S188" s="7" t="s">
        <v>9</v>
      </c>
      <c r="T188" s="10" t="str">
        <f t="shared" si="41"/>
        <v/>
      </c>
      <c r="U188" s="7" t="s">
        <v>9</v>
      </c>
    </row>
    <row r="189" spans="1:21" s="2" customFormat="1" ht="12" customHeight="1" x14ac:dyDescent="0.4">
      <c r="A189" s="9" t="str">
        <f t="shared" ca="1" si="38"/>
        <v/>
      </c>
      <c r="B189" s="6"/>
      <c r="C189" s="6"/>
      <c r="D189" s="6"/>
      <c r="E189" s="11"/>
      <c r="F189" s="11"/>
      <c r="G189" s="7"/>
      <c r="H189" s="21"/>
      <c r="I189" s="24" t="str">
        <f t="shared" si="33"/>
        <v/>
      </c>
      <c r="J189" s="25" t="str">
        <f t="shared" ca="1" si="34"/>
        <v/>
      </c>
      <c r="K189" s="22" t="str">
        <f t="shared" si="35"/>
        <v/>
      </c>
      <c r="L189" s="23" t="str">
        <f t="shared" ca="1" si="29"/>
        <v/>
      </c>
      <c r="M189" s="7"/>
      <c r="N189" s="10" t="str">
        <f t="shared" si="39"/>
        <v/>
      </c>
      <c r="O189" s="7"/>
      <c r="P189" s="12" t="str">
        <f t="shared" si="36"/>
        <v/>
      </c>
      <c r="Q189" s="13" t="str">
        <f t="shared" si="37"/>
        <v/>
      </c>
      <c r="R189" s="10" t="str">
        <f t="shared" si="40"/>
        <v/>
      </c>
      <c r="S189" s="7" t="s">
        <v>9</v>
      </c>
      <c r="T189" s="10" t="str">
        <f t="shared" si="41"/>
        <v/>
      </c>
      <c r="U189" s="7" t="s">
        <v>9</v>
      </c>
    </row>
    <row r="190" spans="1:21" s="2" customFormat="1" ht="12" customHeight="1" x14ac:dyDescent="0.4">
      <c r="A190" s="9" t="str">
        <f t="shared" ca="1" si="38"/>
        <v/>
      </c>
      <c r="B190" s="6"/>
      <c r="C190" s="6"/>
      <c r="D190" s="6"/>
      <c r="E190" s="11"/>
      <c r="F190" s="11"/>
      <c r="G190" s="7"/>
      <c r="H190" s="21"/>
      <c r="I190" s="24" t="str">
        <f t="shared" si="33"/>
        <v/>
      </c>
      <c r="J190" s="25" t="str">
        <f t="shared" ca="1" si="34"/>
        <v/>
      </c>
      <c r="K190" s="22" t="str">
        <f t="shared" si="35"/>
        <v/>
      </c>
      <c r="L190" s="23" t="str">
        <f t="shared" ca="1" si="29"/>
        <v/>
      </c>
      <c r="M190" s="7"/>
      <c r="N190" s="10" t="str">
        <f t="shared" si="39"/>
        <v/>
      </c>
      <c r="O190" s="7"/>
      <c r="P190" s="12" t="str">
        <f t="shared" si="36"/>
        <v/>
      </c>
      <c r="Q190" s="13" t="str">
        <f t="shared" si="37"/>
        <v/>
      </c>
      <c r="R190" s="10" t="str">
        <f t="shared" si="40"/>
        <v/>
      </c>
      <c r="S190" s="7" t="s">
        <v>9</v>
      </c>
      <c r="T190" s="10" t="str">
        <f t="shared" si="41"/>
        <v/>
      </c>
      <c r="U190" s="7" t="s">
        <v>9</v>
      </c>
    </row>
    <row r="191" spans="1:21" s="2" customFormat="1" ht="12" customHeight="1" x14ac:dyDescent="0.4">
      <c r="A191" s="9" t="str">
        <f t="shared" ca="1" si="38"/>
        <v/>
      </c>
      <c r="B191" s="6"/>
      <c r="C191" s="6"/>
      <c r="D191" s="6"/>
      <c r="E191" s="11"/>
      <c r="F191" s="11"/>
      <c r="G191" s="7"/>
      <c r="H191" s="21"/>
      <c r="I191" s="24" t="str">
        <f t="shared" si="33"/>
        <v/>
      </c>
      <c r="J191" s="25" t="str">
        <f t="shared" ca="1" si="34"/>
        <v/>
      </c>
      <c r="K191" s="22" t="str">
        <f t="shared" si="35"/>
        <v/>
      </c>
      <c r="L191" s="23" t="str">
        <f t="shared" ca="1" si="29"/>
        <v/>
      </c>
      <c r="M191" s="7"/>
      <c r="N191" s="10" t="str">
        <f t="shared" si="39"/>
        <v/>
      </c>
      <c r="O191" s="7"/>
      <c r="P191" s="12" t="str">
        <f t="shared" si="36"/>
        <v/>
      </c>
      <c r="Q191" s="13" t="str">
        <f t="shared" si="37"/>
        <v/>
      </c>
      <c r="R191" s="10" t="str">
        <f t="shared" si="40"/>
        <v/>
      </c>
      <c r="S191" s="7" t="s">
        <v>9</v>
      </c>
      <c r="T191" s="10" t="str">
        <f t="shared" si="41"/>
        <v/>
      </c>
      <c r="U191" s="7" t="s">
        <v>9</v>
      </c>
    </row>
    <row r="192" spans="1:21" s="2" customFormat="1" ht="12" customHeight="1" x14ac:dyDescent="0.4">
      <c r="A192" s="9" t="str">
        <f t="shared" ca="1" si="38"/>
        <v/>
      </c>
      <c r="B192" s="6"/>
      <c r="C192" s="6"/>
      <c r="D192" s="6"/>
      <c r="E192" s="11"/>
      <c r="F192" s="11"/>
      <c r="G192" s="7"/>
      <c r="H192" s="21"/>
      <c r="I192" s="24" t="str">
        <f t="shared" si="33"/>
        <v/>
      </c>
      <c r="J192" s="25" t="str">
        <f t="shared" ca="1" si="34"/>
        <v/>
      </c>
      <c r="K192" s="22" t="str">
        <f t="shared" si="35"/>
        <v/>
      </c>
      <c r="L192" s="23" t="str">
        <f t="shared" ca="1" si="29"/>
        <v/>
      </c>
      <c r="M192" s="7"/>
      <c r="N192" s="10" t="str">
        <f t="shared" si="39"/>
        <v/>
      </c>
      <c r="O192" s="7"/>
      <c r="P192" s="12" t="str">
        <f t="shared" si="36"/>
        <v/>
      </c>
      <c r="Q192" s="13" t="str">
        <f t="shared" si="37"/>
        <v/>
      </c>
      <c r="R192" s="10" t="str">
        <f t="shared" si="40"/>
        <v/>
      </c>
      <c r="S192" s="7" t="s">
        <v>9</v>
      </c>
      <c r="T192" s="10" t="str">
        <f t="shared" si="41"/>
        <v/>
      </c>
      <c r="U192" s="7" t="s">
        <v>9</v>
      </c>
    </row>
    <row r="193" spans="1:21" s="2" customFormat="1" ht="12" customHeight="1" x14ac:dyDescent="0.4">
      <c r="A193" s="9" t="str">
        <f t="shared" ca="1" si="38"/>
        <v/>
      </c>
      <c r="B193" s="6"/>
      <c r="C193" s="6"/>
      <c r="D193" s="6"/>
      <c r="E193" s="11"/>
      <c r="F193" s="11"/>
      <c r="G193" s="7"/>
      <c r="H193" s="21"/>
      <c r="I193" s="24" t="str">
        <f t="shared" si="33"/>
        <v/>
      </c>
      <c r="J193" s="25" t="str">
        <f t="shared" ca="1" si="34"/>
        <v/>
      </c>
      <c r="K193" s="22" t="str">
        <f t="shared" si="35"/>
        <v/>
      </c>
      <c r="L193" s="23" t="str">
        <f t="shared" ca="1" si="29"/>
        <v/>
      </c>
      <c r="M193" s="7"/>
      <c r="N193" s="10" t="str">
        <f t="shared" si="39"/>
        <v/>
      </c>
      <c r="O193" s="7"/>
      <c r="P193" s="12" t="str">
        <f t="shared" si="36"/>
        <v/>
      </c>
      <c r="Q193" s="13" t="str">
        <f t="shared" si="37"/>
        <v/>
      </c>
      <c r="R193" s="10" t="str">
        <f t="shared" si="40"/>
        <v/>
      </c>
      <c r="S193" s="7" t="s">
        <v>9</v>
      </c>
      <c r="T193" s="10" t="str">
        <f t="shared" si="41"/>
        <v/>
      </c>
      <c r="U193" s="7" t="s">
        <v>9</v>
      </c>
    </row>
    <row r="194" spans="1:21" s="2" customFormat="1" ht="12" customHeight="1" x14ac:dyDescent="0.4">
      <c r="A194" s="9" t="str">
        <f t="shared" ca="1" si="38"/>
        <v/>
      </c>
      <c r="B194" s="6"/>
      <c r="C194" s="6"/>
      <c r="D194" s="6"/>
      <c r="E194" s="11"/>
      <c r="F194" s="11"/>
      <c r="G194" s="7"/>
      <c r="H194" s="21"/>
      <c r="I194" s="24" t="str">
        <f t="shared" si="33"/>
        <v/>
      </c>
      <c r="J194" s="25" t="str">
        <f t="shared" ca="1" si="34"/>
        <v/>
      </c>
      <c r="K194" s="22" t="str">
        <f t="shared" si="35"/>
        <v/>
      </c>
      <c r="L194" s="23" t="str">
        <f t="shared" ca="1" si="29"/>
        <v/>
      </c>
      <c r="M194" s="7"/>
      <c r="N194" s="10" t="str">
        <f t="shared" si="39"/>
        <v/>
      </c>
      <c r="O194" s="7"/>
      <c r="P194" s="12" t="str">
        <f t="shared" si="36"/>
        <v/>
      </c>
      <c r="Q194" s="13" t="str">
        <f t="shared" si="37"/>
        <v/>
      </c>
      <c r="R194" s="10" t="str">
        <f t="shared" si="40"/>
        <v/>
      </c>
      <c r="S194" s="7" t="s">
        <v>9</v>
      </c>
      <c r="T194" s="10" t="str">
        <f t="shared" si="41"/>
        <v/>
      </c>
      <c r="U194" s="7" t="s">
        <v>9</v>
      </c>
    </row>
    <row r="195" spans="1:21" s="2" customFormat="1" ht="12" customHeight="1" x14ac:dyDescent="0.4">
      <c r="A195" s="9" t="str">
        <f t="shared" ref="A195:A200" ca="1" si="42">IF(
    OR(
        $B195="",
        OFFSET($B195,-1,0)=""
    ),
    "",
    IF(
        OFFSET($B195,-1,0)=$B$2,
        1,
        OFFSET($A195,-1,0)+1
    )
)</f>
        <v/>
      </c>
      <c r="B195" s="6"/>
      <c r="C195" s="6"/>
      <c r="D195" s="6"/>
      <c r="E195" s="11"/>
      <c r="F195" s="11"/>
      <c r="G195" s="7"/>
      <c r="H195" s="21"/>
      <c r="I195" s="24" t="str">
        <f t="shared" si="33"/>
        <v/>
      </c>
      <c r="J195" s="25" t="str">
        <f t="shared" ca="1" si="34"/>
        <v/>
      </c>
      <c r="K195" s="22" t="str">
        <f t="shared" si="35"/>
        <v/>
      </c>
      <c r="L195" s="23" t="str">
        <f t="shared" ref="L195:L200" ca="1" si="43">IF(J195&lt;&gt;"",(J195/"0:0:1"),"")</f>
        <v/>
      </c>
      <c r="M195" s="7"/>
      <c r="N195" s="10" t="str">
        <f t="shared" ref="N195:N200" si="44">IF(
    B195="",
    "",
    K195&amp;CHAR(9)&amp;L195&amp;CHAR(9)&amp;"L"&amp;TEXT($A195,"000")
)</f>
        <v/>
      </c>
      <c r="O195" s="7"/>
      <c r="P195" s="12" t="str">
        <f t="shared" si="36"/>
        <v/>
      </c>
      <c r="Q195" s="13" t="str">
        <f t="shared" si="37"/>
        <v/>
      </c>
      <c r="R195" s="10" t="str">
        <f t="shared" ref="R195:R200" si="45">IF(
    B195="",
    "",
    SUBSTITUTE($C195,"-","－")&amp;" - "&amp;
    SUBSTITUTE($B195,"-","－")&amp;" - "&amp;
    $I195
)</f>
        <v/>
      </c>
      <c r="S195" s="7" t="s">
        <v>9</v>
      </c>
      <c r="T195" s="10" t="str">
        <f t="shared" ref="T195:T200" si="46">IF(
    B195="",
    "",
    TEXT($A195,"00 ")&amp;B195&amp;CHAR(9)&amp;
    B195&amp;CHAR(9)&amp;
    C195&amp;CHAR(9)&amp;
    "Tatsuya Endo"&amp;CHAR(9)&amp;
    D195&amp;CHAR(9)&amp;
    A195&amp;CHAR(9)&amp;
    E195&amp;CHAR(9)&amp;
    F195&amp;CHAR(9)&amp;
    REPT(CHAR(9),9)
)</f>
        <v/>
      </c>
      <c r="U195" s="7" t="s">
        <v>9</v>
      </c>
    </row>
    <row r="196" spans="1:21" s="2" customFormat="1" ht="12" customHeight="1" x14ac:dyDescent="0.4">
      <c r="A196" s="9" t="str">
        <f t="shared" ca="1" si="42"/>
        <v/>
      </c>
      <c r="B196" s="6"/>
      <c r="C196" s="6"/>
      <c r="D196" s="6"/>
      <c r="E196" s="11"/>
      <c r="F196" s="11"/>
      <c r="G196" s="7"/>
      <c r="H196" s="21"/>
      <c r="I196" s="24" t="str">
        <f>IF(H196="","",TEXT(H196,"h:mm:ss"))</f>
        <v/>
      </c>
      <c r="J196" s="25" t="str">
        <f ca="1">IF(OFFSET(J196,1,-1)&lt;&gt;"",OFFSET(J196,1,-1),"")</f>
        <v/>
      </c>
      <c r="K196" s="22" t="str">
        <f t="shared" ref="K196:K200" si="47">IF(H196&lt;&gt;"",(H196/"0:0:1"),"")</f>
        <v/>
      </c>
      <c r="L196" s="23" t="str">
        <f t="shared" ca="1" si="43"/>
        <v/>
      </c>
      <c r="M196" s="7"/>
      <c r="N196" s="10" t="str">
        <f t="shared" si="44"/>
        <v/>
      </c>
      <c r="O196" s="7"/>
      <c r="P196" s="12" t="str">
        <f t="shared" ref="P196:P200" si="48">IF(
    $B196="",
    "",
    IF(
        ISERROR(FIND("-",$B196)),
        "〇",
        "×"
    )
)</f>
        <v/>
      </c>
      <c r="Q196" s="13" t="str">
        <f t="shared" ref="Q196:Q200" si="49">IF(
    $C196="",
    "",
    IF(
        ISERROR(FIND("-",$C196)),
        "〇",
        "×"
    )
)</f>
        <v/>
      </c>
      <c r="R196" s="10" t="str">
        <f t="shared" si="45"/>
        <v/>
      </c>
      <c r="S196" s="7" t="s">
        <v>9</v>
      </c>
      <c r="T196" s="10" t="str">
        <f t="shared" si="46"/>
        <v/>
      </c>
      <c r="U196" s="7" t="s">
        <v>9</v>
      </c>
    </row>
    <row r="197" spans="1:21" s="2" customFormat="1" ht="12" customHeight="1" x14ac:dyDescent="0.4">
      <c r="A197" s="9" t="str">
        <f t="shared" ca="1" si="42"/>
        <v/>
      </c>
      <c r="B197" s="6"/>
      <c r="C197" s="6"/>
      <c r="D197" s="6"/>
      <c r="E197" s="11"/>
      <c r="F197" s="11"/>
      <c r="G197" s="7"/>
      <c r="H197" s="21"/>
      <c r="I197" s="24" t="str">
        <f>IF(H197="","",TEXT(H197,"h:mm:ss"))</f>
        <v/>
      </c>
      <c r="J197" s="25" t="str">
        <f ca="1">IF(OFFSET(J197,1,-1)&lt;&gt;"",OFFSET(J197,1,-1),"")</f>
        <v/>
      </c>
      <c r="K197" s="22" t="str">
        <f t="shared" si="47"/>
        <v/>
      </c>
      <c r="L197" s="23" t="str">
        <f t="shared" ca="1" si="43"/>
        <v/>
      </c>
      <c r="M197" s="7"/>
      <c r="N197" s="10" t="str">
        <f t="shared" si="44"/>
        <v/>
      </c>
      <c r="O197" s="7"/>
      <c r="P197" s="12" t="str">
        <f t="shared" si="48"/>
        <v/>
      </c>
      <c r="Q197" s="13" t="str">
        <f t="shared" si="49"/>
        <v/>
      </c>
      <c r="R197" s="10" t="str">
        <f t="shared" si="45"/>
        <v/>
      </c>
      <c r="S197" s="7" t="s">
        <v>9</v>
      </c>
      <c r="T197" s="10" t="str">
        <f t="shared" si="46"/>
        <v/>
      </c>
      <c r="U197" s="7" t="s">
        <v>9</v>
      </c>
    </row>
    <row r="198" spans="1:21" s="2" customFormat="1" ht="12" customHeight="1" x14ac:dyDescent="0.4">
      <c r="A198" s="9" t="str">
        <f t="shared" ca="1" si="42"/>
        <v/>
      </c>
      <c r="B198" s="6"/>
      <c r="C198" s="6"/>
      <c r="D198" s="6"/>
      <c r="E198" s="11"/>
      <c r="F198" s="11"/>
      <c r="G198" s="7"/>
      <c r="H198" s="21"/>
      <c r="I198" s="24" t="str">
        <f>IF(H198="","",TEXT(H198,"h:mm:ss"))</f>
        <v/>
      </c>
      <c r="J198" s="25" t="str">
        <f ca="1">IF(OFFSET(J198,1,-1)&lt;&gt;"",OFFSET(J198,1,-1),"")</f>
        <v/>
      </c>
      <c r="K198" s="22" t="str">
        <f t="shared" si="47"/>
        <v/>
      </c>
      <c r="L198" s="23" t="str">
        <f t="shared" ca="1" si="43"/>
        <v/>
      </c>
      <c r="M198" s="7"/>
      <c r="N198" s="10" t="str">
        <f t="shared" si="44"/>
        <v/>
      </c>
      <c r="O198" s="7"/>
      <c r="P198" s="12" t="str">
        <f t="shared" si="48"/>
        <v/>
      </c>
      <c r="Q198" s="13" t="str">
        <f t="shared" si="49"/>
        <v/>
      </c>
      <c r="R198" s="10" t="str">
        <f t="shared" si="45"/>
        <v/>
      </c>
      <c r="S198" s="7" t="s">
        <v>9</v>
      </c>
      <c r="T198" s="10" t="str">
        <f t="shared" si="46"/>
        <v/>
      </c>
      <c r="U198" s="7" t="s">
        <v>9</v>
      </c>
    </row>
    <row r="199" spans="1:21" s="2" customFormat="1" ht="12" customHeight="1" x14ac:dyDescent="0.4">
      <c r="A199" s="9" t="str">
        <f t="shared" ca="1" si="42"/>
        <v/>
      </c>
      <c r="B199" s="6"/>
      <c r="C199" s="6"/>
      <c r="D199" s="6"/>
      <c r="E199" s="11"/>
      <c r="F199" s="11"/>
      <c r="G199" s="7"/>
      <c r="H199" s="21"/>
      <c r="I199" s="24" t="str">
        <f>IF(H199="","",TEXT(H199,"h:mm:ss"))</f>
        <v/>
      </c>
      <c r="J199" s="25" t="str">
        <f ca="1">IF(OFFSET(J199,1,-1)&lt;&gt;"",OFFSET(J199,1,-1),"")</f>
        <v/>
      </c>
      <c r="K199" s="22" t="str">
        <f t="shared" si="47"/>
        <v/>
      </c>
      <c r="L199" s="23" t="str">
        <f t="shared" ca="1" si="43"/>
        <v/>
      </c>
      <c r="M199" s="7"/>
      <c r="N199" s="10" t="str">
        <f t="shared" si="44"/>
        <v/>
      </c>
      <c r="O199" s="7"/>
      <c r="P199" s="12" t="str">
        <f t="shared" si="48"/>
        <v/>
      </c>
      <c r="Q199" s="13" t="str">
        <f t="shared" si="49"/>
        <v/>
      </c>
      <c r="R199" s="10" t="str">
        <f t="shared" si="45"/>
        <v/>
      </c>
      <c r="S199" s="7" t="s">
        <v>9</v>
      </c>
      <c r="T199" s="10" t="str">
        <f t="shared" si="46"/>
        <v/>
      </c>
      <c r="U199" s="7" t="s">
        <v>9</v>
      </c>
    </row>
    <row r="200" spans="1:21" s="2" customFormat="1" ht="12" customHeight="1" x14ac:dyDescent="0.4">
      <c r="A200" s="9" t="str">
        <f t="shared" ca="1" si="42"/>
        <v/>
      </c>
      <c r="B200" s="6"/>
      <c r="C200" s="6"/>
      <c r="D200" s="6"/>
      <c r="E200" s="11"/>
      <c r="F200" s="11"/>
      <c r="G200" s="7"/>
      <c r="H200" s="21"/>
      <c r="I200" s="24" t="str">
        <f>IF(H200="","",TEXT(H200,"h:mm:ss"))</f>
        <v/>
      </c>
      <c r="J200" s="25" t="str">
        <f ca="1">IF(OFFSET(J200,1,-1)&lt;&gt;"",OFFSET(J200,1,-1),"")</f>
        <v/>
      </c>
      <c r="K200" s="22" t="str">
        <f t="shared" si="47"/>
        <v/>
      </c>
      <c r="L200" s="23" t="str">
        <f t="shared" ca="1" si="43"/>
        <v/>
      </c>
      <c r="M200" s="7"/>
      <c r="N200" s="10" t="str">
        <f t="shared" si="44"/>
        <v/>
      </c>
      <c r="O200" s="7"/>
      <c r="P200" s="12" t="str">
        <f t="shared" si="48"/>
        <v/>
      </c>
      <c r="Q200" s="13" t="str">
        <f t="shared" si="49"/>
        <v/>
      </c>
      <c r="R200" s="10" t="str">
        <f t="shared" si="45"/>
        <v/>
      </c>
      <c r="S200" s="7" t="s">
        <v>9</v>
      </c>
      <c r="T200" s="10" t="str">
        <f t="shared" si="46"/>
        <v/>
      </c>
      <c r="U200" s="7" t="s">
        <v>9</v>
      </c>
    </row>
  </sheetData>
  <autoFilter ref="A2:R2"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Informations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00"/>
  <sheetViews>
    <sheetView showGridLines="0" workbookViewId="0">
      <pane ySplit="5" topLeftCell="A6" activePane="bottomLeft" state="frozen"/>
      <selection activeCell="A7" sqref="A7"/>
      <selection pane="bottomLeft" activeCell="A7" sqref="A7"/>
    </sheetView>
  </sheetViews>
  <sheetFormatPr defaultRowHeight="13.2" x14ac:dyDescent="0.4"/>
  <cols>
    <col min="1" max="1" width="13.21875" style="2" customWidth="1"/>
    <col min="2" max="2" width="0.21875" style="47" customWidth="1"/>
    <col min="3" max="3" width="37.21875" style="2" bestFit="1" customWidth="1"/>
    <col min="4" max="4" width="31.88671875" style="2" customWidth="1"/>
    <col min="5" max="5" width="27.88671875" style="2" customWidth="1"/>
    <col min="6" max="6" width="7.33203125" style="1" customWidth="1"/>
    <col min="7" max="7" width="13.33203125" style="1" bestFit="1" customWidth="1"/>
    <col min="8" max="8" width="4.33203125" style="1" customWidth="1"/>
    <col min="9" max="9" width="4.44140625" style="1" bestFit="1" customWidth="1"/>
    <col min="10" max="12" width="9" style="1" customWidth="1"/>
    <col min="13" max="13" width="25" style="2" customWidth="1"/>
    <col min="14" max="16384" width="8.88671875" style="2"/>
  </cols>
  <sheetData>
    <row r="1" spans="1:13" x14ac:dyDescent="0.4">
      <c r="A1" s="38" t="s">
        <v>118</v>
      </c>
      <c r="B1" s="39"/>
      <c r="C1" s="40" t="s">
        <v>116</v>
      </c>
      <c r="D1" s="40" t="s">
        <v>116</v>
      </c>
      <c r="E1" s="40" t="s">
        <v>116</v>
      </c>
      <c r="F1" s="40" t="s">
        <v>116</v>
      </c>
      <c r="G1" s="40" t="s">
        <v>116</v>
      </c>
      <c r="H1" s="40" t="s">
        <v>116</v>
      </c>
      <c r="I1" s="40" t="s">
        <v>116</v>
      </c>
      <c r="J1" s="40" t="s">
        <v>116</v>
      </c>
      <c r="K1" s="40" t="s">
        <v>116</v>
      </c>
      <c r="L1" s="40" t="s">
        <v>116</v>
      </c>
      <c r="M1" s="40" t="s">
        <v>116</v>
      </c>
    </row>
    <row r="2" spans="1:13" x14ac:dyDescent="0.4">
      <c r="A2" s="41" t="s">
        <v>65</v>
      </c>
      <c r="B2" s="42"/>
      <c r="C2" s="40" t="s">
        <v>116</v>
      </c>
      <c r="D2" s="40" t="s">
        <v>116</v>
      </c>
      <c r="E2" s="40" t="s">
        <v>116</v>
      </c>
      <c r="F2" s="40" t="s">
        <v>116</v>
      </c>
      <c r="G2" s="40" t="s">
        <v>116</v>
      </c>
      <c r="H2" s="40" t="s">
        <v>116</v>
      </c>
      <c r="I2" s="40" t="s">
        <v>116</v>
      </c>
      <c r="J2" s="40" t="s">
        <v>116</v>
      </c>
      <c r="K2" s="40" t="s">
        <v>116</v>
      </c>
      <c r="L2" s="40" t="s">
        <v>116</v>
      </c>
      <c r="M2" s="40" t="s">
        <v>116</v>
      </c>
    </row>
    <row r="3" spans="1:13" x14ac:dyDescent="0.4">
      <c r="A3" s="10" t="s">
        <v>66</v>
      </c>
      <c r="B3" s="7"/>
      <c r="C3" s="43">
        <v>1</v>
      </c>
      <c r="D3" s="43">
        <v>49</v>
      </c>
      <c r="E3" s="43">
        <v>79</v>
      </c>
      <c r="F3" s="43">
        <v>104</v>
      </c>
      <c r="G3" s="43">
        <v>113</v>
      </c>
      <c r="H3" s="43">
        <v>131</v>
      </c>
      <c r="I3" s="43">
        <v>139</v>
      </c>
      <c r="J3" s="43">
        <v>148</v>
      </c>
      <c r="K3" s="43">
        <v>172</v>
      </c>
      <c r="L3" s="43">
        <v>185</v>
      </c>
      <c r="M3" s="43">
        <v>198</v>
      </c>
    </row>
    <row r="4" spans="1:13" x14ac:dyDescent="0.4">
      <c r="A4" s="10" t="s">
        <v>67</v>
      </c>
      <c r="B4" s="7"/>
      <c r="C4" s="43">
        <v>49</v>
      </c>
      <c r="D4" s="43">
        <v>79</v>
      </c>
      <c r="E4" s="43">
        <v>104</v>
      </c>
      <c r="F4" s="43">
        <v>113</v>
      </c>
      <c r="G4" s="43">
        <v>131</v>
      </c>
      <c r="H4" s="43">
        <v>139</v>
      </c>
      <c r="I4" s="43">
        <v>148</v>
      </c>
      <c r="J4" s="43">
        <v>172</v>
      </c>
      <c r="K4" s="43">
        <v>185</v>
      </c>
      <c r="L4" s="43">
        <v>198</v>
      </c>
      <c r="M4" s="43">
        <v>207</v>
      </c>
    </row>
    <row r="5" spans="1:13" x14ac:dyDescent="0.4">
      <c r="A5" s="10" t="s">
        <v>66</v>
      </c>
      <c r="B5" s="7"/>
      <c r="C5" s="38" t="s">
        <v>10</v>
      </c>
      <c r="D5" s="38" t="s">
        <v>14</v>
      </c>
      <c r="E5" s="38" t="s">
        <v>15</v>
      </c>
      <c r="F5" s="38" t="s">
        <v>23</v>
      </c>
      <c r="G5" s="38" t="s">
        <v>16</v>
      </c>
      <c r="H5" s="38" t="s">
        <v>17</v>
      </c>
      <c r="I5" s="44" t="s">
        <v>18</v>
      </c>
      <c r="J5" s="44" t="s">
        <v>11</v>
      </c>
      <c r="K5" s="45" t="s">
        <v>12</v>
      </c>
      <c r="L5" s="45" t="s">
        <v>13</v>
      </c>
      <c r="M5" s="45" t="s">
        <v>20</v>
      </c>
    </row>
    <row r="6" spans="1:13" x14ac:dyDescent="0.4">
      <c r="A6" s="10" t="s">
        <v>68</v>
      </c>
      <c r="B6" s="7"/>
      <c r="C6" s="6" t="str">
        <f>TRIM(MID($A6,C$3,C$4-C$3))</f>
        <v>Send Me an Angel (Minor Riddim)</v>
      </c>
      <c r="D6" s="6" t="str">
        <f>TRIM(MID($A6,D$3,D$4-D$3))</f>
        <v>Fiji</v>
      </c>
      <c r="E6" s="6" t="str">
        <f>TRIM(MID($A6,E$3,E$4-E$3))</f>
        <v>Minor Riddim</v>
      </c>
      <c r="F6" s="11" t="str">
        <f>TRIM(MID($A6,F$3,F$4-F$3))</f>
        <v>2010</v>
      </c>
      <c r="G6" s="11" t="str">
        <f>TRIM(MID($A6,G$3,G$4-G$3))</f>
        <v>Reggae@Riddim</v>
      </c>
      <c r="H6" s="11" t="str">
        <f>TRIM(MID($A6,H$3,H$4-H$3))</f>
        <v>91</v>
      </c>
      <c r="I6" s="11" t="str">
        <f>TRIM(MID($A6,I$3,I$4-I$3))</f>
        <v>1</v>
      </c>
      <c r="J6" s="11" t="str">
        <f>TRIM(MID($A6,J$3,J$4-J$3))</f>
        <v>10:53:07</v>
      </c>
      <c r="K6" s="11" t="str">
        <f>TRIM(MID($A6,K$3,K$4-K$3))</f>
        <v>10:55:09</v>
      </c>
      <c r="L6" s="11" t="str">
        <f>TRIM(MID($A6,L$3,L$4-L$3))</f>
        <v>00:02:02</v>
      </c>
      <c r="M6" s="6" t="str">
        <f>TRIM(MID($A6,M$3,M$4-M$3))</f>
        <v/>
      </c>
    </row>
    <row r="7" spans="1:13" x14ac:dyDescent="0.4">
      <c r="A7" s="10" t="s">
        <v>69</v>
      </c>
      <c r="B7" s="7"/>
      <c r="C7" s="6" t="str">
        <f>TRIM(MID($A7,C$3,C$4-C$3))</f>
        <v>A Like That (Minor Riddim)</v>
      </c>
      <c r="D7" s="6" t="str">
        <f>TRIM(MID($A7,D$3,D$4-D$3))</f>
        <v>Vybz Kartel</v>
      </c>
      <c r="E7" s="6" t="str">
        <f>TRIM(MID($A7,E$3,E$4-E$3))</f>
        <v>Minor Riddim</v>
      </c>
      <c r="F7" s="11" t="str">
        <f>TRIM(MID($A7,F$3,F$4-F$3))</f>
        <v>2010</v>
      </c>
      <c r="G7" s="11" t="str">
        <f>TRIM(MID($A7,G$3,G$4-G$3))</f>
        <v>Reggae@Riddim</v>
      </c>
      <c r="H7" s="11" t="str">
        <f>TRIM(MID($A7,H$3,H$4-H$3))</f>
        <v>91</v>
      </c>
      <c r="I7" s="11" t="str">
        <f>TRIM(MID($A7,I$3,I$4-I$3))</f>
        <v>2</v>
      </c>
      <c r="J7" s="11" t="str">
        <f>TRIM(MID($A7,J$3,J$4-J$3))</f>
        <v>10:53:27</v>
      </c>
      <c r="K7" s="11" t="str">
        <f>TRIM(MID($A7,K$3,K$4-K$3))</f>
        <v>10:56:45</v>
      </c>
      <c r="L7" s="11" t="str">
        <f>TRIM(MID($A7,L$3,L$4-L$3))</f>
        <v>00:03:18</v>
      </c>
      <c r="M7" s="6" t="str">
        <f>TRIM(MID($A7,M$3,M$4-M$3))</f>
        <v/>
      </c>
    </row>
    <row r="8" spans="1:13" x14ac:dyDescent="0.4">
      <c r="A8" s="10" t="s">
        <v>70</v>
      </c>
      <c r="B8" s="7"/>
      <c r="C8" s="6" t="str">
        <f>TRIM(MID($A8,C$3,C$4-C$3))</f>
        <v>Name &amp; Number (Minor Riddim)</v>
      </c>
      <c r="D8" s="6" t="str">
        <f>TRIM(MID($A8,D$3,D$4-D$3))</f>
        <v>LP</v>
      </c>
      <c r="E8" s="6" t="str">
        <f>TRIM(MID($A8,E$3,E$4-E$3))</f>
        <v>Minor Riddim</v>
      </c>
      <c r="F8" s="11" t="str">
        <f>TRIM(MID($A8,F$3,F$4-F$3))</f>
        <v>2010</v>
      </c>
      <c r="G8" s="11" t="str">
        <f>TRIM(MID($A8,G$3,G$4-G$3))</f>
        <v>Reggae@Riddim</v>
      </c>
      <c r="H8" s="11" t="str">
        <f>TRIM(MID($A8,H$3,H$4-H$3))</f>
        <v>91</v>
      </c>
      <c r="I8" s="11" t="str">
        <f>TRIM(MID($A8,I$3,I$4-I$3))</f>
        <v>1</v>
      </c>
      <c r="J8" s="11" t="str">
        <f>TRIM(MID($A8,J$3,J$4-J$3))</f>
        <v>10:55:09</v>
      </c>
      <c r="K8" s="11" t="str">
        <f>TRIM(MID($A8,K$3,K$4-K$3))</f>
        <v>10:57:47</v>
      </c>
      <c r="L8" s="11" t="str">
        <f>TRIM(MID($A8,L$3,L$4-L$3))</f>
        <v>00:02:38</v>
      </c>
      <c r="M8" s="6" t="str">
        <f>TRIM(MID($A8,M$3,M$4-M$3))</f>
        <v/>
      </c>
    </row>
    <row r="9" spans="1:13" x14ac:dyDescent="0.4">
      <c r="A9" s="10" t="s">
        <v>71</v>
      </c>
      <c r="B9" s="7"/>
      <c r="C9" s="6" t="str">
        <f>TRIM(MID($A9,C$3,C$4-C$3))</f>
        <v>Over Come Dem (Minor Riddim)</v>
      </c>
      <c r="D9" s="6" t="str">
        <f>TRIM(MID($A9,D$3,D$4-D$3))</f>
        <v>Lutan Fyah</v>
      </c>
      <c r="E9" s="6" t="str">
        <f>TRIM(MID($A9,E$3,E$4-E$3))</f>
        <v>Minor Riddim</v>
      </c>
      <c r="F9" s="11" t="str">
        <f>TRIM(MID($A9,F$3,F$4-F$3))</f>
        <v>2010</v>
      </c>
      <c r="G9" s="11" t="str">
        <f>TRIM(MID($A9,G$3,G$4-G$3))</f>
        <v>Reggae@Riddim</v>
      </c>
      <c r="H9" s="11" t="str">
        <f>TRIM(MID($A9,H$3,H$4-H$3))</f>
        <v>91</v>
      </c>
      <c r="I9" s="11" t="str">
        <f>TRIM(MID($A9,I$3,I$4-I$3))</f>
        <v>2</v>
      </c>
      <c r="J9" s="11" t="str">
        <f>TRIM(MID($A9,J$3,J$4-J$3))</f>
        <v>10:56:45</v>
      </c>
      <c r="K9" s="11" t="str">
        <f>TRIM(MID($A9,K$3,K$4-K$3))</f>
        <v>10:58:51</v>
      </c>
      <c r="L9" s="11" t="str">
        <f>TRIM(MID($A9,L$3,L$4-L$3))</f>
        <v>00:02:06</v>
      </c>
      <c r="M9" s="6" t="str">
        <f>TRIM(MID($A9,M$3,M$4-M$3))</f>
        <v/>
      </c>
    </row>
    <row r="10" spans="1:13" x14ac:dyDescent="0.4">
      <c r="A10" s="10" t="s">
        <v>72</v>
      </c>
      <c r="B10" s="7"/>
      <c r="C10" s="6" t="str">
        <f>TRIM(MID($A10,C$3,C$4-C$3))</f>
        <v>Roll (Minor Riddim)</v>
      </c>
      <c r="D10" s="6" t="str">
        <f>TRIM(MID($A10,D$3,D$4-D$3))</f>
        <v>Protoje</v>
      </c>
      <c r="E10" s="6" t="str">
        <f>TRIM(MID($A10,E$3,E$4-E$3))</f>
        <v>Minor Riddim</v>
      </c>
      <c r="F10" s="11" t="str">
        <f>TRIM(MID($A10,F$3,F$4-F$3))</f>
        <v>2010</v>
      </c>
      <c r="G10" s="11" t="str">
        <f>TRIM(MID($A10,G$3,G$4-G$3))</f>
        <v>Reggae@Riddim</v>
      </c>
      <c r="H10" s="11" t="str">
        <f>TRIM(MID($A10,H$3,H$4-H$3))</f>
        <v>91</v>
      </c>
      <c r="I10" s="11" t="str">
        <f>TRIM(MID($A10,I$3,I$4-I$3))</f>
        <v>1</v>
      </c>
      <c r="J10" s="11" t="str">
        <f>TRIM(MID($A10,J$3,J$4-J$3))</f>
        <v>10:57:47</v>
      </c>
      <c r="K10" s="11" t="str">
        <f>TRIM(MID($A10,K$3,K$4-K$3))</f>
        <v>10:59:54</v>
      </c>
      <c r="L10" s="11" t="str">
        <f>TRIM(MID($A10,L$3,L$4-L$3))</f>
        <v>00:02:07</v>
      </c>
      <c r="M10" s="6" t="str">
        <f>TRIM(MID($A10,M$3,M$4-M$3))</f>
        <v/>
      </c>
    </row>
    <row r="11" spans="1:13" x14ac:dyDescent="0.4">
      <c r="A11" s="10" t="s">
        <v>73</v>
      </c>
      <c r="B11" s="7"/>
      <c r="C11" s="6" t="str">
        <f>TRIM(MID($A11,C$3,C$4-C$3))</f>
        <v>Love Me Right (Minor Riddim)</v>
      </c>
      <c r="D11" s="6" t="str">
        <f>TRIM(MID($A11,D$3,D$4-D$3))</f>
        <v>Selena Serrano &amp; Pressure</v>
      </c>
      <c r="E11" s="6" t="str">
        <f>TRIM(MID($A11,E$3,E$4-E$3))</f>
        <v>Minor Riddim</v>
      </c>
      <c r="F11" s="11" t="str">
        <f>TRIM(MID($A11,F$3,F$4-F$3))</f>
        <v>2010</v>
      </c>
      <c r="G11" s="11" t="str">
        <f>TRIM(MID($A11,G$3,G$4-G$3))</f>
        <v>Reggae@Riddim</v>
      </c>
      <c r="H11" s="11" t="str">
        <f>TRIM(MID($A11,H$3,H$4-H$3))</f>
        <v>91</v>
      </c>
      <c r="I11" s="11" t="str">
        <f>TRIM(MID($A11,I$3,I$4-I$3))</f>
        <v>2</v>
      </c>
      <c r="J11" s="11" t="str">
        <f>TRIM(MID($A11,J$3,J$4-J$3))</f>
        <v>10:58:51</v>
      </c>
      <c r="K11" s="11" t="str">
        <f>TRIM(MID($A11,K$3,K$4-K$3))</f>
        <v>11:00:49</v>
      </c>
      <c r="L11" s="11" t="str">
        <f>TRIM(MID($A11,L$3,L$4-L$3))</f>
        <v>00:01:58</v>
      </c>
      <c r="M11" s="6" t="str">
        <f>TRIM(MID($A11,M$3,M$4-M$3))</f>
        <v/>
      </c>
    </row>
    <row r="12" spans="1:13" x14ac:dyDescent="0.4">
      <c r="A12" s="10" t="s">
        <v>74</v>
      </c>
      <c r="B12" s="7"/>
      <c r="C12" s="6" t="str">
        <f>TRIM(MID($A12,C$3,C$4-C$3))</f>
        <v>Forbidden Love (Minor Riddim)</v>
      </c>
      <c r="D12" s="6" t="str">
        <f>TRIM(MID($A12,D$3,D$4-D$3))</f>
        <v>Tami Chynn</v>
      </c>
      <c r="E12" s="6" t="str">
        <f>TRIM(MID($A12,E$3,E$4-E$3))</f>
        <v>Minor Riddim</v>
      </c>
      <c r="F12" s="11" t="str">
        <f>TRIM(MID($A12,F$3,F$4-F$3))</f>
        <v>2010</v>
      </c>
      <c r="G12" s="11" t="str">
        <f>TRIM(MID($A12,G$3,G$4-G$3))</f>
        <v>Reggae@Riddim</v>
      </c>
      <c r="H12" s="11" t="str">
        <f>TRIM(MID($A12,H$3,H$4-H$3))</f>
        <v>91</v>
      </c>
      <c r="I12" s="11" t="str">
        <f>TRIM(MID($A12,I$3,I$4-I$3))</f>
        <v>1</v>
      </c>
      <c r="J12" s="11" t="str">
        <f>TRIM(MID($A12,J$3,J$4-J$3))</f>
        <v>10:59:54</v>
      </c>
      <c r="K12" s="11" t="str">
        <f>TRIM(MID($A12,K$3,K$4-K$3))</f>
        <v>11:02:48</v>
      </c>
      <c r="L12" s="11" t="str">
        <f>TRIM(MID($A12,L$3,L$4-L$3))</f>
        <v>00:02:54</v>
      </c>
      <c r="M12" s="6" t="str">
        <f>TRIM(MID($A12,M$3,M$4-M$3))</f>
        <v/>
      </c>
    </row>
    <row r="13" spans="1:13" x14ac:dyDescent="0.4">
      <c r="A13" s="10" t="s">
        <v>75</v>
      </c>
      <c r="B13" s="7"/>
      <c r="C13" s="6" t="str">
        <f>TRIM(MID($A13,C$3,C$4-C$3))</f>
        <v>Love Like This (Minor Riddim)</v>
      </c>
      <c r="D13" s="6" t="str">
        <f>TRIM(MID($A13,D$3,D$4-D$3))</f>
        <v>Toi</v>
      </c>
      <c r="E13" s="6" t="str">
        <f>TRIM(MID($A13,E$3,E$4-E$3))</f>
        <v>Minor Riddim</v>
      </c>
      <c r="F13" s="11" t="str">
        <f>TRIM(MID($A13,F$3,F$4-F$3))</f>
        <v>2010</v>
      </c>
      <c r="G13" s="11" t="str">
        <f>TRIM(MID($A13,G$3,G$4-G$3))</f>
        <v>Reggae@Riddim</v>
      </c>
      <c r="H13" s="11" t="str">
        <f>TRIM(MID($A13,H$3,H$4-H$3))</f>
        <v>91</v>
      </c>
      <c r="I13" s="11" t="str">
        <f>TRIM(MID($A13,I$3,I$4-I$3))</f>
        <v>2</v>
      </c>
      <c r="J13" s="11" t="str">
        <f>TRIM(MID($A13,J$3,J$4-J$3))</f>
        <v>11:00:49</v>
      </c>
      <c r="K13" s="11" t="str">
        <f>TRIM(MID($A13,K$3,K$4-K$3))</f>
        <v>11:03:22</v>
      </c>
      <c r="L13" s="11" t="str">
        <f>TRIM(MID($A13,L$3,L$4-L$3))</f>
        <v>00:02:33</v>
      </c>
      <c r="M13" s="6" t="str">
        <f>TRIM(MID($A13,M$3,M$4-M$3))</f>
        <v/>
      </c>
    </row>
    <row r="14" spans="1:13" x14ac:dyDescent="0.4">
      <c r="A14" s="10" t="s">
        <v>76</v>
      </c>
      <c r="B14" s="7"/>
      <c r="C14" s="6" t="str">
        <f>TRIM(MID($A14,C$3,C$4-C$3))</f>
        <v>Love Me Right (Minor Riddim)</v>
      </c>
      <c r="D14" s="6" t="str">
        <f>TRIM(MID($A14,D$3,D$4-D$3))</f>
        <v>Selena Serrano &amp; Pressure</v>
      </c>
      <c r="E14" s="6" t="str">
        <f>TRIM(MID($A14,E$3,E$4-E$3))</f>
        <v>Minor Riddim</v>
      </c>
      <c r="F14" s="11" t="str">
        <f>TRIM(MID($A14,F$3,F$4-F$3))</f>
        <v>2010</v>
      </c>
      <c r="G14" s="11" t="str">
        <f>TRIM(MID($A14,G$3,G$4-G$3))</f>
        <v>Reggae@Riddim</v>
      </c>
      <c r="H14" s="11" t="str">
        <f>TRIM(MID($A14,H$3,H$4-H$3))</f>
        <v>91</v>
      </c>
      <c r="I14" s="11" t="str">
        <f>TRIM(MID($A14,I$3,I$4-I$3))</f>
        <v>1</v>
      </c>
      <c r="J14" s="11" t="str">
        <f>TRIM(MID($A14,J$3,J$4-J$3))</f>
        <v>11:02:48</v>
      </c>
      <c r="K14" s="11" t="str">
        <f>TRIM(MID($A14,K$3,K$4-K$3))</f>
        <v>11:05:05</v>
      </c>
      <c r="L14" s="11" t="str">
        <f>TRIM(MID($A14,L$3,L$4-L$3))</f>
        <v>00:02:17</v>
      </c>
      <c r="M14" s="6" t="str">
        <f>TRIM(MID($A14,M$3,M$4-M$3))</f>
        <v/>
      </c>
    </row>
    <row r="15" spans="1:13" x14ac:dyDescent="0.4">
      <c r="A15" s="10" t="s">
        <v>77</v>
      </c>
      <c r="B15" s="7"/>
      <c r="C15" s="6" t="str">
        <f>TRIM(MID($A15,C$3,C$4-C$3))</f>
        <v>Send Me an Angel (Minor Riddim)</v>
      </c>
      <c r="D15" s="6" t="str">
        <f>TRIM(MID($A15,D$3,D$4-D$3))</f>
        <v>Fiji</v>
      </c>
      <c r="E15" s="6" t="str">
        <f>TRIM(MID($A15,E$3,E$4-E$3))</f>
        <v>Minor Riddim</v>
      </c>
      <c r="F15" s="11" t="str">
        <f>TRIM(MID($A15,F$3,F$4-F$3))</f>
        <v>2010</v>
      </c>
      <c r="G15" s="11" t="str">
        <f>TRIM(MID($A15,G$3,G$4-G$3))</f>
        <v>Reggae@Riddim</v>
      </c>
      <c r="H15" s="11" t="str">
        <f>TRIM(MID($A15,H$3,H$4-H$3))</f>
        <v>91</v>
      </c>
      <c r="I15" s="11" t="str">
        <f>TRIM(MID($A15,I$3,I$4-I$3))</f>
        <v>2</v>
      </c>
      <c r="J15" s="11" t="str">
        <f>TRIM(MID($A15,J$3,J$4-J$3))</f>
        <v>11:03:22</v>
      </c>
      <c r="K15" s="11" t="str">
        <f>TRIM(MID($A15,K$3,K$4-K$3))</f>
        <v>11:06:07</v>
      </c>
      <c r="L15" s="11" t="str">
        <f>TRIM(MID($A15,L$3,L$4-L$3))</f>
        <v>00:02:45</v>
      </c>
      <c r="M15" s="6" t="str">
        <f>TRIM(MID($A15,M$3,M$4-M$3))</f>
        <v/>
      </c>
    </row>
    <row r="16" spans="1:13" x14ac:dyDescent="0.4">
      <c r="A16" s="10" t="s">
        <v>78</v>
      </c>
      <c r="B16" s="7"/>
      <c r="C16" s="6" t="str">
        <f>TRIM(MID($A16,C$3,C$4-C$3))</f>
        <v>A Like That (Minor Riddim)</v>
      </c>
      <c r="D16" s="6" t="str">
        <f>TRIM(MID($A16,D$3,D$4-D$3))</f>
        <v>Vybz Kartel</v>
      </c>
      <c r="E16" s="6" t="str">
        <f>TRIM(MID($A16,E$3,E$4-E$3))</f>
        <v>Minor Riddim</v>
      </c>
      <c r="F16" s="11" t="str">
        <f>TRIM(MID($A16,F$3,F$4-F$3))</f>
        <v>2010</v>
      </c>
      <c r="G16" s="11" t="str">
        <f>TRIM(MID($A16,G$3,G$4-G$3))</f>
        <v>Reggae@Riddim</v>
      </c>
      <c r="H16" s="11" t="str">
        <f>TRIM(MID($A16,H$3,H$4-H$3))</f>
        <v>91</v>
      </c>
      <c r="I16" s="11" t="str">
        <f>TRIM(MID($A16,I$3,I$4-I$3))</f>
        <v>1</v>
      </c>
      <c r="J16" s="11" t="str">
        <f>TRIM(MID($A16,J$3,J$4-J$3))</f>
        <v>11:05:05</v>
      </c>
      <c r="K16" s="11" t="str">
        <f>TRIM(MID($A16,K$3,K$4-K$3))</f>
        <v>11:07:14</v>
      </c>
      <c r="L16" s="11" t="str">
        <f>TRIM(MID($A16,L$3,L$4-L$3))</f>
        <v>00:02:09</v>
      </c>
      <c r="M16" s="6" t="str">
        <f>TRIM(MID($A16,M$3,M$4-M$3))</f>
        <v/>
      </c>
    </row>
    <row r="17" spans="1:13" x14ac:dyDescent="0.4">
      <c r="A17" s="10" t="s">
        <v>79</v>
      </c>
      <c r="B17" s="7"/>
      <c r="C17" s="6" t="str">
        <f>TRIM(MID($A17,C$3,C$4-C$3))</f>
        <v>Name &amp; Number (Minor Riddim)</v>
      </c>
      <c r="D17" s="6" t="str">
        <f>TRIM(MID($A17,D$3,D$4-D$3))</f>
        <v>LP</v>
      </c>
      <c r="E17" s="6" t="str">
        <f>TRIM(MID($A17,E$3,E$4-E$3))</f>
        <v>Minor Riddim</v>
      </c>
      <c r="F17" s="11" t="str">
        <f>TRIM(MID($A17,F$3,F$4-F$3))</f>
        <v>2010</v>
      </c>
      <c r="G17" s="11" t="str">
        <f>TRIM(MID($A17,G$3,G$4-G$3))</f>
        <v>Reggae@Riddim</v>
      </c>
      <c r="H17" s="11" t="str">
        <f>TRIM(MID($A17,H$3,H$4-H$3))</f>
        <v>91</v>
      </c>
      <c r="I17" s="11" t="str">
        <f>TRIM(MID($A17,I$3,I$4-I$3))</f>
        <v>2</v>
      </c>
      <c r="J17" s="11" t="str">
        <f>TRIM(MID($A17,J$3,J$4-J$3))</f>
        <v>11:06:07</v>
      </c>
      <c r="K17" s="11" t="str">
        <f>TRIM(MID($A17,K$3,K$4-K$3))</f>
        <v>11:08:13</v>
      </c>
      <c r="L17" s="11" t="str">
        <f>TRIM(MID($A17,L$3,L$4-L$3))</f>
        <v>00:02:06</v>
      </c>
      <c r="M17" s="6" t="str">
        <f>TRIM(MID($A17,M$3,M$4-M$3))</f>
        <v/>
      </c>
    </row>
    <row r="18" spans="1:13" x14ac:dyDescent="0.4">
      <c r="A18" s="10" t="s">
        <v>80</v>
      </c>
      <c r="B18" s="7"/>
      <c r="C18" s="6" t="str">
        <f>TRIM(MID($A18,C$3,C$4-C$3))</f>
        <v>Over Come Dem (Minor Riddim)</v>
      </c>
      <c r="D18" s="6" t="str">
        <f>TRIM(MID($A18,D$3,D$4-D$3))</f>
        <v>Lutan Fyah</v>
      </c>
      <c r="E18" s="6" t="str">
        <f>TRIM(MID($A18,E$3,E$4-E$3))</f>
        <v>Minor Riddim</v>
      </c>
      <c r="F18" s="11" t="str">
        <f>TRIM(MID($A18,F$3,F$4-F$3))</f>
        <v>2010</v>
      </c>
      <c r="G18" s="11" t="str">
        <f>TRIM(MID($A18,G$3,G$4-G$3))</f>
        <v>Reggae@Riddim</v>
      </c>
      <c r="H18" s="11" t="str">
        <f>TRIM(MID($A18,H$3,H$4-H$3))</f>
        <v>91</v>
      </c>
      <c r="I18" s="11" t="str">
        <f>TRIM(MID($A18,I$3,I$4-I$3))</f>
        <v>1</v>
      </c>
      <c r="J18" s="11" t="str">
        <f>TRIM(MID($A18,J$3,J$4-J$3))</f>
        <v>11:07:14</v>
      </c>
      <c r="K18" s="11" t="str">
        <f>TRIM(MID($A18,K$3,K$4-K$3))</f>
        <v>11:09:19</v>
      </c>
      <c r="L18" s="11" t="str">
        <f>TRIM(MID($A18,L$3,L$4-L$3))</f>
        <v>00:02:05</v>
      </c>
      <c r="M18" s="6" t="str">
        <f>TRIM(MID($A18,M$3,M$4-M$3))</f>
        <v/>
      </c>
    </row>
    <row r="19" spans="1:13" x14ac:dyDescent="0.4">
      <c r="A19" s="10" t="s">
        <v>81</v>
      </c>
      <c r="B19" s="7"/>
      <c r="C19" s="6" t="str">
        <f>TRIM(MID($A19,C$3,C$4-C$3))</f>
        <v>Roll (Minor Riddim)</v>
      </c>
      <c r="D19" s="6" t="str">
        <f>TRIM(MID($A19,D$3,D$4-D$3))</f>
        <v>Protoje</v>
      </c>
      <c r="E19" s="6" t="str">
        <f>TRIM(MID($A19,E$3,E$4-E$3))</f>
        <v>Minor Riddim</v>
      </c>
      <c r="F19" s="11" t="str">
        <f>TRIM(MID($A19,F$3,F$4-F$3))</f>
        <v>2010</v>
      </c>
      <c r="G19" s="11" t="str">
        <f>TRIM(MID($A19,G$3,G$4-G$3))</f>
        <v>Reggae@Riddim</v>
      </c>
      <c r="H19" s="11" t="str">
        <f>TRIM(MID($A19,H$3,H$4-H$3))</f>
        <v>91</v>
      </c>
      <c r="I19" s="11" t="str">
        <f>TRIM(MID($A19,I$3,I$4-I$3))</f>
        <v>2</v>
      </c>
      <c r="J19" s="11" t="str">
        <f>TRIM(MID($A19,J$3,J$4-J$3))</f>
        <v>11:08:13</v>
      </c>
      <c r="K19" s="11" t="str">
        <f>TRIM(MID($A19,K$3,K$4-K$3))</f>
        <v>11:10:22</v>
      </c>
      <c r="L19" s="11" t="str">
        <f>TRIM(MID($A19,L$3,L$4-L$3))</f>
        <v>00:02:09</v>
      </c>
      <c r="M19" s="6" t="str">
        <f>TRIM(MID($A19,M$3,M$4-M$3))</f>
        <v/>
      </c>
    </row>
    <row r="20" spans="1:13" x14ac:dyDescent="0.4">
      <c r="A20" s="10" t="s">
        <v>82</v>
      </c>
      <c r="B20" s="7"/>
      <c r="C20" s="6" t="str">
        <f>TRIM(MID($A20,C$3,C$4-C$3))</f>
        <v>Love Like This (Minor Riddim)</v>
      </c>
      <c r="D20" s="6" t="str">
        <f>TRIM(MID($A20,D$3,D$4-D$3))</f>
        <v>Toi</v>
      </c>
      <c r="E20" s="6" t="str">
        <f>TRIM(MID($A20,E$3,E$4-E$3))</f>
        <v>Minor Riddim</v>
      </c>
      <c r="F20" s="11" t="str">
        <f>TRIM(MID($A20,F$3,F$4-F$3))</f>
        <v>2010</v>
      </c>
      <c r="G20" s="11" t="str">
        <f>TRIM(MID($A20,G$3,G$4-G$3))</f>
        <v>Reggae@Riddim</v>
      </c>
      <c r="H20" s="11" t="str">
        <f>TRIM(MID($A20,H$3,H$4-H$3))</f>
        <v>91</v>
      </c>
      <c r="I20" s="11" t="str">
        <f>TRIM(MID($A20,I$3,I$4-I$3))</f>
        <v>1</v>
      </c>
      <c r="J20" s="11" t="str">
        <f>TRIM(MID($A20,J$3,J$4-J$3))</f>
        <v>11:09:19</v>
      </c>
      <c r="K20" s="11" t="str">
        <f>TRIM(MID($A20,K$3,K$4-K$3))</f>
        <v>11:13:05</v>
      </c>
      <c r="L20" s="11" t="str">
        <f>TRIM(MID($A20,L$3,L$4-L$3))</f>
        <v>00:03:46</v>
      </c>
      <c r="M20" s="6" t="str">
        <f>TRIM(MID($A20,M$3,M$4-M$3))</f>
        <v/>
      </c>
    </row>
    <row r="21" spans="1:13" x14ac:dyDescent="0.4">
      <c r="A21" s="10" t="s">
        <v>83</v>
      </c>
      <c r="B21" s="7"/>
      <c r="C21" s="6" t="str">
        <f>TRIM(MID($A21,C$3,C$4-C$3))</f>
        <v>Forbidden Love (Minor Riddim)</v>
      </c>
      <c r="D21" s="6" t="str">
        <f>TRIM(MID($A21,D$3,D$4-D$3))</f>
        <v>Tami Chynn</v>
      </c>
      <c r="E21" s="6" t="str">
        <f>TRIM(MID($A21,E$3,E$4-E$3))</f>
        <v>Minor Riddim</v>
      </c>
      <c r="F21" s="11" t="str">
        <f>TRIM(MID($A21,F$3,F$4-F$3))</f>
        <v>2010</v>
      </c>
      <c r="G21" s="11" t="str">
        <f>TRIM(MID($A21,G$3,G$4-G$3))</f>
        <v>Reggae@Riddim</v>
      </c>
      <c r="H21" s="11" t="str">
        <f>TRIM(MID($A21,H$3,H$4-H$3))</f>
        <v>91</v>
      </c>
      <c r="I21" s="11" t="str">
        <f>TRIM(MID($A21,I$3,I$4-I$3))</f>
        <v>2</v>
      </c>
      <c r="J21" s="11" t="str">
        <f>TRIM(MID($A21,J$3,J$4-J$3))</f>
        <v>11:10:22</v>
      </c>
      <c r="K21" s="11" t="str">
        <f>TRIM(MID($A21,K$3,K$4-K$3))</f>
        <v>11:13:09</v>
      </c>
      <c r="L21" s="11" t="str">
        <f>TRIM(MID($A21,L$3,L$4-L$3))</f>
        <v>00:02:47</v>
      </c>
      <c r="M21" s="6" t="str">
        <f>TRIM(MID($A21,M$3,M$4-M$3))</f>
        <v/>
      </c>
    </row>
    <row r="22" spans="1:13" x14ac:dyDescent="0.4">
      <c r="A22" s="10" t="s">
        <v>84</v>
      </c>
      <c r="B22" s="7"/>
      <c r="C22" s="6" t="str">
        <f>TRIM(MID($A22,C$3,C$4-C$3))</f>
        <v>Beat Dem Badd (Jim Screechie Riddim)</v>
      </c>
      <c r="D22" s="6" t="str">
        <f>TRIM(MID($A22,D$3,D$4-D$3))</f>
        <v>Beenie Man</v>
      </c>
      <c r="E22" s="6" t="str">
        <f>TRIM(MID($A22,E$3,E$4-E$3))</f>
        <v>Jim Screechie Riddim</v>
      </c>
      <c r="F22" s="11" t="str">
        <f>TRIM(MID($A22,F$3,F$4-F$3))</f>
        <v>2010</v>
      </c>
      <c r="G22" s="11" t="str">
        <f>TRIM(MID($A22,G$3,G$4-G$3))</f>
        <v>Reggae@Riddim</v>
      </c>
      <c r="H22" s="11" t="str">
        <f>TRIM(MID($A22,H$3,H$4-H$3))</f>
        <v>119</v>
      </c>
      <c r="I22" s="11" t="str">
        <f>TRIM(MID($A22,I$3,I$4-I$3))</f>
        <v>1</v>
      </c>
      <c r="J22" s="11" t="str">
        <f>TRIM(MID($A22,J$3,J$4-J$3))</f>
        <v>11:13:05</v>
      </c>
      <c r="K22" s="11" t="str">
        <f>TRIM(MID($A22,K$3,K$4-K$3))</f>
        <v>11:15:11</v>
      </c>
      <c r="L22" s="11" t="str">
        <f>TRIM(MID($A22,L$3,L$4-L$3))</f>
        <v>00:02:06</v>
      </c>
      <c r="M22" s="6" t="str">
        <f>TRIM(MID($A22,M$3,M$4-M$3))</f>
        <v/>
      </c>
    </row>
    <row r="23" spans="1:13" x14ac:dyDescent="0.4">
      <c r="A23" s="10" t="s">
        <v>85</v>
      </c>
      <c r="B23" s="7"/>
      <c r="C23" s="6" t="str">
        <f>TRIM(MID($A23,C$3,C$4-C$3))</f>
        <v>Closer (Jim Screechie Riddim)</v>
      </c>
      <c r="D23" s="6" t="str">
        <f>TRIM(MID($A23,D$3,D$4-D$3))</f>
        <v>Shanz</v>
      </c>
      <c r="E23" s="6" t="str">
        <f>TRIM(MID($A23,E$3,E$4-E$3))</f>
        <v>Jim Screechie Riddim</v>
      </c>
      <c r="F23" s="11" t="str">
        <f>TRIM(MID($A23,F$3,F$4-F$3))</f>
        <v>2010</v>
      </c>
      <c r="G23" s="11" t="str">
        <f>TRIM(MID($A23,G$3,G$4-G$3))</f>
        <v>Reggae@Riddim</v>
      </c>
      <c r="H23" s="11" t="str">
        <f>TRIM(MID($A23,H$3,H$4-H$3))</f>
        <v>119</v>
      </c>
      <c r="I23" s="11" t="str">
        <f>TRIM(MID($A23,I$3,I$4-I$3))</f>
        <v>2</v>
      </c>
      <c r="J23" s="11" t="str">
        <f>TRIM(MID($A23,J$3,J$4-J$3))</f>
        <v>11:13:09</v>
      </c>
      <c r="K23" s="11" t="str">
        <f>TRIM(MID($A23,K$3,K$4-K$3))</f>
        <v>11:16:14</v>
      </c>
      <c r="L23" s="11" t="str">
        <f>TRIM(MID($A23,L$3,L$4-L$3))</f>
        <v>00:03:05</v>
      </c>
      <c r="M23" s="6" t="str">
        <f>TRIM(MID($A23,M$3,M$4-M$3))</f>
        <v/>
      </c>
    </row>
    <row r="24" spans="1:13" x14ac:dyDescent="0.4">
      <c r="A24" s="10" t="s">
        <v>86</v>
      </c>
      <c r="B24" s="7"/>
      <c r="C24" s="6" t="str">
        <f>TRIM(MID($A24,C$3,C$4-C$3))</f>
        <v>Everybody Clap (Jim Screechie Riddim)</v>
      </c>
      <c r="D24" s="6" t="str">
        <f>TRIM(MID($A24,D$3,D$4-D$3))</f>
        <v>T.O.K</v>
      </c>
      <c r="E24" s="6" t="str">
        <f>TRIM(MID($A24,E$3,E$4-E$3))</f>
        <v>Jim Screechie Riddim</v>
      </c>
      <c r="F24" s="11" t="str">
        <f>TRIM(MID($A24,F$3,F$4-F$3))</f>
        <v>2010</v>
      </c>
      <c r="G24" s="11" t="str">
        <f>TRIM(MID($A24,G$3,G$4-G$3))</f>
        <v>Reggae@Riddim</v>
      </c>
      <c r="H24" s="11" t="str">
        <f>TRIM(MID($A24,H$3,H$4-H$3))</f>
        <v>119</v>
      </c>
      <c r="I24" s="11" t="str">
        <f>TRIM(MID($A24,I$3,I$4-I$3))</f>
        <v>1</v>
      </c>
      <c r="J24" s="11" t="str">
        <f>TRIM(MID($A24,J$3,J$4-J$3))</f>
        <v>11:15:11</v>
      </c>
      <c r="K24" s="11" t="str">
        <f>TRIM(MID($A24,K$3,K$4-K$3))</f>
        <v>11:21:41</v>
      </c>
      <c r="L24" s="11" t="str">
        <f>TRIM(MID($A24,L$3,L$4-L$3))</f>
        <v>00:06:30</v>
      </c>
      <c r="M24" s="6" t="str">
        <f>TRIM(MID($A24,M$3,M$4-M$3))</f>
        <v/>
      </c>
    </row>
    <row r="25" spans="1:13" x14ac:dyDescent="0.4">
      <c r="A25" s="10" t="s">
        <v>87</v>
      </c>
      <c r="B25" s="7"/>
      <c r="C25" s="6" t="str">
        <f>TRIM(MID($A25,C$3,C$4-C$3))</f>
        <v>For The Girls (Jim Screechie Riddim)</v>
      </c>
      <c r="D25" s="6" t="str">
        <f>TRIM(MID($A25,D$3,D$4-D$3))</f>
        <v>Rdx</v>
      </c>
      <c r="E25" s="6" t="str">
        <f>TRIM(MID($A25,E$3,E$4-E$3))</f>
        <v>Jim Screechie Riddim</v>
      </c>
      <c r="F25" s="11" t="str">
        <f>TRIM(MID($A25,F$3,F$4-F$3))</f>
        <v>2010</v>
      </c>
      <c r="G25" s="11" t="str">
        <f>TRIM(MID($A25,G$3,G$4-G$3))</f>
        <v>Reggae@Riddim</v>
      </c>
      <c r="H25" s="11" t="str">
        <f>TRIM(MID($A25,H$3,H$4-H$3))</f>
        <v>119</v>
      </c>
      <c r="I25" s="11" t="str">
        <f>TRIM(MID($A25,I$3,I$4-I$3))</f>
        <v>2</v>
      </c>
      <c r="J25" s="11" t="str">
        <f>TRIM(MID($A25,J$3,J$4-J$3))</f>
        <v>11:16:14</v>
      </c>
      <c r="K25" s="11" t="str">
        <f>TRIM(MID($A25,K$3,K$4-K$3))</f>
        <v>11:23:56</v>
      </c>
      <c r="L25" s="11" t="str">
        <f>TRIM(MID($A25,L$3,L$4-L$3))</f>
        <v>00:07:42</v>
      </c>
      <c r="M25" s="6" t="str">
        <f>TRIM(MID($A25,M$3,M$4-M$3))</f>
        <v/>
      </c>
    </row>
    <row r="26" spans="1:13" x14ac:dyDescent="0.4">
      <c r="A26" s="10" t="s">
        <v>88</v>
      </c>
      <c r="B26" s="7"/>
      <c r="C26" s="6" t="str">
        <f>TRIM(MID($A26,C$3,C$4-C$3))</f>
        <v>Hard Fi Find (Jim Screechie Riddim)</v>
      </c>
      <c r="D26" s="6" t="str">
        <f>TRIM(MID($A26,D$3,D$4-D$3))</f>
        <v>Versatile</v>
      </c>
      <c r="E26" s="6" t="str">
        <f>TRIM(MID($A26,E$3,E$4-E$3))</f>
        <v>Jim Screechie Riddim</v>
      </c>
      <c r="F26" s="11" t="str">
        <f>TRIM(MID($A26,F$3,F$4-F$3))</f>
        <v>2010</v>
      </c>
      <c r="G26" s="11" t="str">
        <f>TRIM(MID($A26,G$3,G$4-G$3))</f>
        <v>Reggae@Riddim</v>
      </c>
      <c r="H26" s="11" t="str">
        <f>TRIM(MID($A26,H$3,H$4-H$3))</f>
        <v>119</v>
      </c>
      <c r="I26" s="11" t="str">
        <f>TRIM(MID($A26,I$3,I$4-I$3))</f>
        <v>1</v>
      </c>
      <c r="J26" s="11" t="str">
        <f>TRIM(MID($A26,J$3,J$4-J$3))</f>
        <v>11:21:50</v>
      </c>
      <c r="K26" s="11" t="str">
        <f>TRIM(MID($A26,K$3,K$4-K$3))</f>
        <v>11:25:49</v>
      </c>
      <c r="L26" s="11" t="str">
        <f>TRIM(MID($A26,L$3,L$4-L$3))</f>
        <v>00:03:59</v>
      </c>
      <c r="M26" s="6" t="str">
        <f>TRIM(MID($A26,M$3,M$4-M$3))</f>
        <v/>
      </c>
    </row>
    <row r="27" spans="1:13" x14ac:dyDescent="0.4">
      <c r="A27" s="10" t="s">
        <v>89</v>
      </c>
      <c r="B27" s="7"/>
      <c r="C27" s="6" t="str">
        <f>TRIM(MID($A27,C$3,C$4-C$3))</f>
        <v>Jackhammer [Raw] (Jim Screechie Riddim)</v>
      </c>
      <c r="D27" s="6" t="str">
        <f>TRIM(MID($A27,D$3,D$4-D$3))</f>
        <v>Aidonia</v>
      </c>
      <c r="E27" s="6" t="str">
        <f>TRIM(MID($A27,E$3,E$4-E$3))</f>
        <v>Jim Screechie Riddim</v>
      </c>
      <c r="F27" s="11" t="str">
        <f>TRIM(MID($A27,F$3,F$4-F$3))</f>
        <v>2010</v>
      </c>
      <c r="G27" s="11" t="str">
        <f>TRIM(MID($A27,G$3,G$4-G$3))</f>
        <v>Reggae@Riddim</v>
      </c>
      <c r="H27" s="11" t="str">
        <f>TRIM(MID($A27,H$3,H$4-H$3))</f>
        <v>119</v>
      </c>
      <c r="I27" s="11" t="str">
        <f>TRIM(MID($A27,I$3,I$4-I$3))</f>
        <v>2</v>
      </c>
      <c r="J27" s="11" t="str">
        <f>TRIM(MID($A27,J$3,J$4-J$3))</f>
        <v>11:23:56</v>
      </c>
      <c r="K27" s="11" t="str">
        <f>TRIM(MID($A27,K$3,K$4-K$3))</f>
        <v>11:31:57</v>
      </c>
      <c r="L27" s="11" t="str">
        <f>TRIM(MID($A27,L$3,L$4-L$3))</f>
        <v>00:08:01</v>
      </c>
      <c r="M27" s="6" t="str">
        <f>TRIM(MID($A27,M$3,M$4-M$3))</f>
        <v/>
      </c>
    </row>
    <row r="28" spans="1:13" x14ac:dyDescent="0.4">
      <c r="A28" s="10" t="s">
        <v>90</v>
      </c>
      <c r="B28" s="7"/>
      <c r="C28" s="6" t="str">
        <f>TRIM(MID($A28,C$3,C$4-C$3))</f>
        <v>Jim Screechie (Jim Screechie Riddim)</v>
      </c>
      <c r="D28" s="6" t="str">
        <f>TRIM(MID($A28,D$3,D$4-D$3))</f>
        <v>Spice</v>
      </c>
      <c r="E28" s="6" t="str">
        <f>TRIM(MID($A28,E$3,E$4-E$3))</f>
        <v>Jim Screechie Riddim</v>
      </c>
      <c r="F28" s="11" t="str">
        <f>TRIM(MID($A28,F$3,F$4-F$3))</f>
        <v>2010</v>
      </c>
      <c r="G28" s="11" t="str">
        <f>TRIM(MID($A28,G$3,G$4-G$3))</f>
        <v>Reggae@Riddim</v>
      </c>
      <c r="H28" s="11" t="str">
        <f>TRIM(MID($A28,H$3,H$4-H$3))</f>
        <v>119</v>
      </c>
      <c r="I28" s="11" t="str">
        <f>TRIM(MID($A28,I$3,I$4-I$3))</f>
        <v>1</v>
      </c>
      <c r="J28" s="11" t="str">
        <f>TRIM(MID($A28,J$3,J$4-J$3))</f>
        <v>11:25:49</v>
      </c>
      <c r="K28" s="11" t="str">
        <f>TRIM(MID($A28,K$3,K$4-K$3))</f>
        <v>11:33:35</v>
      </c>
      <c r="L28" s="11" t="str">
        <f>TRIM(MID($A28,L$3,L$4-L$3))</f>
        <v>00:07:46</v>
      </c>
      <c r="M28" s="6" t="str">
        <f>TRIM(MID($A28,M$3,M$4-M$3))</f>
        <v/>
      </c>
    </row>
    <row r="29" spans="1:13" x14ac:dyDescent="0.4">
      <c r="A29" s="10" t="s">
        <v>91</v>
      </c>
      <c r="B29" s="7"/>
      <c r="C29" s="6" t="str">
        <f>TRIM(MID($A29,C$3,C$4-C$3))</f>
        <v>La La La (Jim Screechie Riddim)</v>
      </c>
      <c r="D29" s="6" t="str">
        <f>TRIM(MID($A29,D$3,D$4-D$3))</f>
        <v>Kemikal</v>
      </c>
      <c r="E29" s="6" t="str">
        <f>TRIM(MID($A29,E$3,E$4-E$3))</f>
        <v>Jim Screechie Riddim</v>
      </c>
      <c r="F29" s="11" t="str">
        <f>TRIM(MID($A29,F$3,F$4-F$3))</f>
        <v>2010</v>
      </c>
      <c r="G29" s="11" t="str">
        <f>TRIM(MID($A29,G$3,G$4-G$3))</f>
        <v>Reggae@Riddim</v>
      </c>
      <c r="H29" s="11" t="str">
        <f>TRIM(MID($A29,H$3,H$4-H$3))</f>
        <v>119</v>
      </c>
      <c r="I29" s="11" t="str">
        <f>TRIM(MID($A29,I$3,I$4-I$3))</f>
        <v>2</v>
      </c>
      <c r="J29" s="11" t="str">
        <f>TRIM(MID($A29,J$3,J$4-J$3))</f>
        <v>11:31:57</v>
      </c>
      <c r="K29" s="11" t="str">
        <f>TRIM(MID($A29,K$3,K$4-K$3))</f>
        <v>11:34:39</v>
      </c>
      <c r="L29" s="11" t="str">
        <f>TRIM(MID($A29,L$3,L$4-L$3))</f>
        <v>00:02:42</v>
      </c>
      <c r="M29" s="6" t="str">
        <f>TRIM(MID($A29,M$3,M$4-M$3))</f>
        <v/>
      </c>
    </row>
    <row r="30" spans="1:13" x14ac:dyDescent="0.4">
      <c r="A30" s="10" t="s">
        <v>92</v>
      </c>
      <c r="B30" s="7"/>
      <c r="C30" s="6" t="str">
        <f>TRIM(MID($A30,C$3,C$4-C$3))</f>
        <v>Move! (Jim Screechie Riddim)</v>
      </c>
      <c r="D30" s="6" t="str">
        <f>TRIM(MID($A30,D$3,D$4-D$3))</f>
        <v>Akane feat Timberlee</v>
      </c>
      <c r="E30" s="6" t="str">
        <f>TRIM(MID($A30,E$3,E$4-E$3))</f>
        <v>Jim Screechie Riddim</v>
      </c>
      <c r="F30" s="11" t="str">
        <f>TRIM(MID($A30,F$3,F$4-F$3))</f>
        <v>2010</v>
      </c>
      <c r="G30" s="11" t="str">
        <f>TRIM(MID($A30,G$3,G$4-G$3))</f>
        <v>Reggae@Riddim</v>
      </c>
      <c r="H30" s="11" t="str">
        <f>TRIM(MID($A30,H$3,H$4-H$3))</f>
        <v>119</v>
      </c>
      <c r="I30" s="11" t="str">
        <f>TRIM(MID($A30,I$3,I$4-I$3))</f>
        <v>1</v>
      </c>
      <c r="J30" s="11" t="str">
        <f>TRIM(MID($A30,J$3,J$4-J$3))</f>
        <v>11:33:35</v>
      </c>
      <c r="K30" s="11" t="str">
        <f>TRIM(MID($A30,K$3,K$4-K$3))</f>
        <v>11:36:27</v>
      </c>
      <c r="L30" s="11" t="str">
        <f>TRIM(MID($A30,L$3,L$4-L$3))</f>
        <v>00:02:52</v>
      </c>
      <c r="M30" s="6" t="str">
        <f>TRIM(MID($A30,M$3,M$4-M$3))</f>
        <v/>
      </c>
    </row>
    <row r="31" spans="1:13" x14ac:dyDescent="0.4">
      <c r="A31" s="10" t="s">
        <v>93</v>
      </c>
      <c r="B31" s="7"/>
      <c r="C31" s="6" t="str">
        <f>TRIM(MID($A31,C$3,C$4-C$3))</f>
        <v>Only Girls [Raw] (Jim Screechie Riddim)</v>
      </c>
      <c r="D31" s="6" t="str">
        <f>TRIM(MID($A31,D$3,D$4-D$3))</f>
        <v>Bunji Garland</v>
      </c>
      <c r="E31" s="6" t="str">
        <f>TRIM(MID($A31,E$3,E$4-E$3))</f>
        <v>Jim Screechie Riddim</v>
      </c>
      <c r="F31" s="11" t="str">
        <f>TRIM(MID($A31,F$3,F$4-F$3))</f>
        <v>2010</v>
      </c>
      <c r="G31" s="11" t="str">
        <f>TRIM(MID($A31,G$3,G$4-G$3))</f>
        <v>Reggae@Riddim</v>
      </c>
      <c r="H31" s="11" t="str">
        <f>TRIM(MID($A31,H$3,H$4-H$3))</f>
        <v>119</v>
      </c>
      <c r="I31" s="11" t="str">
        <f>TRIM(MID($A31,I$3,I$4-I$3))</f>
        <v>2</v>
      </c>
      <c r="J31" s="11" t="str">
        <f>TRIM(MID($A31,J$3,J$4-J$3))</f>
        <v>11:35:16</v>
      </c>
      <c r="K31" s="11" t="str">
        <f>TRIM(MID($A31,K$3,K$4-K$3))</f>
        <v>11:38:11</v>
      </c>
      <c r="L31" s="11" t="str">
        <f>TRIM(MID($A31,L$3,L$4-L$3))</f>
        <v>00:02:55</v>
      </c>
      <c r="M31" s="6" t="str">
        <f>TRIM(MID($A31,M$3,M$4-M$3))</f>
        <v/>
      </c>
    </row>
    <row r="32" spans="1:13" x14ac:dyDescent="0.4">
      <c r="A32" s="10" t="s">
        <v>94</v>
      </c>
      <c r="B32" s="7"/>
      <c r="C32" s="6" t="str">
        <f>TRIM(MID($A32,C$3,C$4-C$3))</f>
        <v>There She Goes [Raw] (Jim Screechie Riddim)</v>
      </c>
      <c r="D32" s="6" t="str">
        <f>TRIM(MID($A32,D$3,D$4-D$3))</f>
        <v>Fay-Ann Lyons</v>
      </c>
      <c r="E32" s="6" t="str">
        <f>TRIM(MID($A32,E$3,E$4-E$3))</f>
        <v>Jim Screechie Riddim</v>
      </c>
      <c r="F32" s="11" t="str">
        <f>TRIM(MID($A32,F$3,F$4-F$3))</f>
        <v>2010</v>
      </c>
      <c r="G32" s="11" t="str">
        <f>TRIM(MID($A32,G$3,G$4-G$3))</f>
        <v>Reggae@Riddim</v>
      </c>
      <c r="H32" s="11" t="str">
        <f>TRIM(MID($A32,H$3,H$4-H$3))</f>
        <v>119</v>
      </c>
      <c r="I32" s="11" t="str">
        <f>TRIM(MID($A32,I$3,I$4-I$3))</f>
        <v>1</v>
      </c>
      <c r="J32" s="11" t="str">
        <f>TRIM(MID($A32,J$3,J$4-J$3))</f>
        <v>11:36:27</v>
      </c>
      <c r="K32" s="11" t="str">
        <f>TRIM(MID($A32,K$3,K$4-K$3))</f>
        <v>11:43:32</v>
      </c>
      <c r="L32" s="11" t="str">
        <f>TRIM(MID($A32,L$3,L$4-L$3))</f>
        <v>00:07:05</v>
      </c>
      <c r="M32" s="6" t="str">
        <f>TRIM(MID($A32,M$3,M$4-M$3))</f>
        <v/>
      </c>
    </row>
    <row r="33" spans="1:13" x14ac:dyDescent="0.4">
      <c r="A33" s="10" t="s">
        <v>95</v>
      </c>
      <c r="B33" s="7"/>
      <c r="C33" s="6" t="str">
        <f>TRIM(MID($A33,C$3,C$4-C$3))</f>
        <v>U Shoulda Know (Jim Screechie Riddim)</v>
      </c>
      <c r="D33" s="6" t="str">
        <f>TRIM(MID($A33,D$3,D$4-D$3))</f>
        <v>J.O.E</v>
      </c>
      <c r="E33" s="6" t="str">
        <f>TRIM(MID($A33,E$3,E$4-E$3))</f>
        <v>Jim Screechie Riddim</v>
      </c>
      <c r="F33" s="11" t="str">
        <f>TRIM(MID($A33,F$3,F$4-F$3))</f>
        <v>2010</v>
      </c>
      <c r="G33" s="11" t="str">
        <f>TRIM(MID($A33,G$3,G$4-G$3))</f>
        <v>Reggae@Riddim</v>
      </c>
      <c r="H33" s="11" t="str">
        <f>TRIM(MID($A33,H$3,H$4-H$3))</f>
        <v>119</v>
      </c>
      <c r="I33" s="11" t="str">
        <f>TRIM(MID($A33,I$3,I$4-I$3))</f>
        <v>2</v>
      </c>
      <c r="J33" s="11" t="str">
        <f>TRIM(MID($A33,J$3,J$4-J$3))</f>
        <v>11:38:11</v>
      </c>
      <c r="K33" s="11" t="str">
        <f>TRIM(MID($A33,K$3,K$4-K$3))</f>
        <v>11:47:30</v>
      </c>
      <c r="L33" s="11" t="str">
        <f>TRIM(MID($A33,L$3,L$4-L$3))</f>
        <v>00:09:19</v>
      </c>
      <c r="M33" s="6" t="str">
        <f>TRIM(MID($A33,M$3,M$4-M$3))</f>
        <v/>
      </c>
    </row>
    <row r="34" spans="1:13" x14ac:dyDescent="0.4">
      <c r="A34" s="10" t="s">
        <v>96</v>
      </c>
      <c r="B34" s="7"/>
      <c r="C34" s="6" t="str">
        <f>TRIM(MID($A34,C$3,C$4-C$3))</f>
        <v>Beat Dem Badd (Jim Screechie Riddim)</v>
      </c>
      <c r="D34" s="6" t="str">
        <f>TRIM(MID($A34,D$3,D$4-D$3))</f>
        <v>Beenie Man</v>
      </c>
      <c r="E34" s="6" t="str">
        <f>TRIM(MID($A34,E$3,E$4-E$3))</f>
        <v>Jim Screechie Riddim</v>
      </c>
      <c r="F34" s="11" t="str">
        <f>TRIM(MID($A34,F$3,F$4-F$3))</f>
        <v>2010</v>
      </c>
      <c r="G34" s="11" t="str">
        <f>TRIM(MID($A34,G$3,G$4-G$3))</f>
        <v>Reggae@Riddim</v>
      </c>
      <c r="H34" s="11" t="str">
        <f>TRIM(MID($A34,H$3,H$4-H$3))</f>
        <v>119</v>
      </c>
      <c r="I34" s="11" t="str">
        <f>TRIM(MID($A34,I$3,I$4-I$3))</f>
        <v>1</v>
      </c>
      <c r="J34" s="11" t="str">
        <f>TRIM(MID($A34,J$3,J$4-J$3))</f>
        <v>11:43:32</v>
      </c>
      <c r="K34" s="11" t="str">
        <f>TRIM(MID($A34,K$3,K$4-K$3))</f>
        <v>11:43:50</v>
      </c>
      <c r="L34" s="11" t="str">
        <f>TRIM(MID($A34,L$3,L$4-L$3))</f>
        <v>00:00:18</v>
      </c>
      <c r="M34" s="6" t="str">
        <f>TRIM(MID($A34,M$3,M$4-M$3))</f>
        <v/>
      </c>
    </row>
    <row r="35" spans="1:13" x14ac:dyDescent="0.4">
      <c r="A35" s="10" t="s">
        <v>97</v>
      </c>
      <c r="B35" s="7"/>
      <c r="C35" s="6" t="str">
        <f>TRIM(MID($A35,C$3,C$4-C$3))</f>
        <v>Closer (Jim Screechie Riddim)</v>
      </c>
      <c r="D35" s="6" t="str">
        <f>TRIM(MID($A35,D$3,D$4-D$3))</f>
        <v>Shanz</v>
      </c>
      <c r="E35" s="6" t="str">
        <f>TRIM(MID($A35,E$3,E$4-E$3))</f>
        <v>Jim Screechie Riddim</v>
      </c>
      <c r="F35" s="11" t="str">
        <f>TRIM(MID($A35,F$3,F$4-F$3))</f>
        <v>2010</v>
      </c>
      <c r="G35" s="11" t="str">
        <f>TRIM(MID($A35,G$3,G$4-G$3))</f>
        <v>Reggae@Riddim</v>
      </c>
      <c r="H35" s="11" t="str">
        <f>TRIM(MID($A35,H$3,H$4-H$3))</f>
        <v>119</v>
      </c>
      <c r="I35" s="11" t="str">
        <f>TRIM(MID($A35,I$3,I$4-I$3))</f>
        <v>1</v>
      </c>
      <c r="J35" s="11" t="str">
        <f>TRIM(MID($A35,J$3,J$4-J$3))</f>
        <v>11:43:50</v>
      </c>
      <c r="K35" s="11" t="str">
        <f>TRIM(MID($A35,K$3,K$4-K$3))</f>
        <v>11:43:57</v>
      </c>
      <c r="L35" s="11" t="str">
        <f>TRIM(MID($A35,L$3,L$4-L$3))</f>
        <v>00:00:07</v>
      </c>
      <c r="M35" s="6" t="str">
        <f>TRIM(MID($A35,M$3,M$4-M$3))</f>
        <v/>
      </c>
    </row>
    <row r="36" spans="1:13" x14ac:dyDescent="0.4">
      <c r="A36" s="10" t="s">
        <v>98</v>
      </c>
      <c r="B36" s="7"/>
      <c r="C36" s="6" t="str">
        <f>TRIM(MID($A36,C$3,C$4-C$3))</f>
        <v>For The Girls (Jim Screechie Riddim)</v>
      </c>
      <c r="D36" s="6" t="str">
        <f>TRIM(MID($A36,D$3,D$4-D$3))</f>
        <v>Rdx</v>
      </c>
      <c r="E36" s="6" t="str">
        <f>TRIM(MID($A36,E$3,E$4-E$3))</f>
        <v>Jim Screechie Riddim</v>
      </c>
      <c r="F36" s="11" t="str">
        <f>TRIM(MID($A36,F$3,F$4-F$3))</f>
        <v>2010</v>
      </c>
      <c r="G36" s="11" t="str">
        <f>TRIM(MID($A36,G$3,G$4-G$3))</f>
        <v>Reggae@Riddim</v>
      </c>
      <c r="H36" s="11" t="str">
        <f>TRIM(MID($A36,H$3,H$4-H$3))</f>
        <v>119</v>
      </c>
      <c r="I36" s="11" t="str">
        <f>TRIM(MID($A36,I$3,I$4-I$3))</f>
        <v>1</v>
      </c>
      <c r="J36" s="11" t="str">
        <f>TRIM(MID($A36,J$3,J$4-J$3))</f>
        <v>11:43:57</v>
      </c>
      <c r="K36" s="11" t="str">
        <f>TRIM(MID($A36,K$3,K$4-K$3))</f>
        <v>11:44:01</v>
      </c>
      <c r="L36" s="11" t="str">
        <f>TRIM(MID($A36,L$3,L$4-L$3))</f>
        <v>00:00:04</v>
      </c>
      <c r="M36" s="6" t="str">
        <f>TRIM(MID($A36,M$3,M$4-M$3))</f>
        <v/>
      </c>
    </row>
    <row r="37" spans="1:13" x14ac:dyDescent="0.4">
      <c r="A37" s="10" t="s">
        <v>99</v>
      </c>
      <c r="B37" s="7"/>
      <c r="C37" s="6" t="str">
        <f>TRIM(MID($A37,C$3,C$4-C$3))</f>
        <v>Hard Fi Find (Jim Screechie Riddim)</v>
      </c>
      <c r="D37" s="6" t="str">
        <f>TRIM(MID($A37,D$3,D$4-D$3))</f>
        <v>Versatile</v>
      </c>
      <c r="E37" s="6" t="str">
        <f>TRIM(MID($A37,E$3,E$4-E$3))</f>
        <v>Jim Screechie Riddim</v>
      </c>
      <c r="F37" s="11" t="str">
        <f>TRIM(MID($A37,F$3,F$4-F$3))</f>
        <v>2010</v>
      </c>
      <c r="G37" s="11" t="str">
        <f>TRIM(MID($A37,G$3,G$4-G$3))</f>
        <v>Reggae@Riddim</v>
      </c>
      <c r="H37" s="11" t="str">
        <f>TRIM(MID($A37,H$3,H$4-H$3))</f>
        <v>119</v>
      </c>
      <c r="I37" s="11" t="str">
        <f>TRIM(MID($A37,I$3,I$4-I$3))</f>
        <v>1</v>
      </c>
      <c r="J37" s="11" t="str">
        <f>TRIM(MID($A37,J$3,J$4-J$3))</f>
        <v>11:44:01</v>
      </c>
      <c r="K37" s="11" t="str">
        <f>TRIM(MID($A37,K$3,K$4-K$3))</f>
        <v>11:44:04</v>
      </c>
      <c r="L37" s="11" t="str">
        <f>TRIM(MID($A37,L$3,L$4-L$3))</f>
        <v>00:00:03</v>
      </c>
      <c r="M37" s="6" t="str">
        <f>TRIM(MID($A37,M$3,M$4-M$3))</f>
        <v/>
      </c>
    </row>
    <row r="38" spans="1:13" x14ac:dyDescent="0.4">
      <c r="A38" s="10" t="s">
        <v>100</v>
      </c>
      <c r="B38" s="7"/>
      <c r="C38" s="6" t="str">
        <f>TRIM(MID($A38,C$3,C$4-C$3))</f>
        <v>Jackhammer [Raw] (Jim Screechie Riddim)</v>
      </c>
      <c r="D38" s="6" t="str">
        <f>TRIM(MID($A38,D$3,D$4-D$3))</f>
        <v>Aidonia</v>
      </c>
      <c r="E38" s="6" t="str">
        <f>TRIM(MID($A38,E$3,E$4-E$3))</f>
        <v>Jim Screechie Riddim</v>
      </c>
      <c r="F38" s="11" t="str">
        <f>TRIM(MID($A38,F$3,F$4-F$3))</f>
        <v>2010</v>
      </c>
      <c r="G38" s="11" t="str">
        <f>TRIM(MID($A38,G$3,G$4-G$3))</f>
        <v>Reggae@Riddim</v>
      </c>
      <c r="H38" s="11" t="str">
        <f>TRIM(MID($A38,H$3,H$4-H$3))</f>
        <v>119</v>
      </c>
      <c r="I38" s="11" t="str">
        <f>TRIM(MID($A38,I$3,I$4-I$3))</f>
        <v>1</v>
      </c>
      <c r="J38" s="11" t="str">
        <f>TRIM(MID($A38,J$3,J$4-J$3))</f>
        <v>11:44:04</v>
      </c>
      <c r="K38" s="11" t="str">
        <f>TRIM(MID($A38,K$3,K$4-K$3))</f>
        <v>11:45:06</v>
      </c>
      <c r="L38" s="11" t="str">
        <f>TRIM(MID($A38,L$3,L$4-L$3))</f>
        <v>00:01:02</v>
      </c>
      <c r="M38" s="6" t="str">
        <f>TRIM(MID($A38,M$3,M$4-M$3))</f>
        <v/>
      </c>
    </row>
    <row r="39" spans="1:13" x14ac:dyDescent="0.4">
      <c r="A39" s="10" t="s">
        <v>101</v>
      </c>
      <c r="B39" s="7"/>
      <c r="C39" s="6" t="str">
        <f>TRIM(MID($A39,C$3,C$4-C$3))</f>
        <v>Everybody Clap (Jim Screechie Riddim)</v>
      </c>
      <c r="D39" s="6" t="str">
        <f>TRIM(MID($A39,D$3,D$4-D$3))</f>
        <v>T.O.K</v>
      </c>
      <c r="E39" s="6" t="str">
        <f>TRIM(MID($A39,E$3,E$4-E$3))</f>
        <v>Jim Screechie Riddim</v>
      </c>
      <c r="F39" s="11" t="str">
        <f>TRIM(MID($A39,F$3,F$4-F$3))</f>
        <v>2010</v>
      </c>
      <c r="G39" s="11" t="str">
        <f>TRIM(MID($A39,G$3,G$4-G$3))</f>
        <v>Reggae@Riddim</v>
      </c>
      <c r="H39" s="11" t="str">
        <f>TRIM(MID($A39,H$3,H$4-H$3))</f>
        <v>119</v>
      </c>
      <c r="I39" s="11" t="str">
        <f>TRIM(MID($A39,I$3,I$4-I$3))</f>
        <v>1</v>
      </c>
      <c r="J39" s="11" t="str">
        <f>TRIM(MID($A39,J$3,J$4-J$3))</f>
        <v>11:45:06</v>
      </c>
      <c r="K39" s="11" t="str">
        <f>TRIM(MID($A39,K$3,K$4-K$3))</f>
        <v>11:45:53</v>
      </c>
      <c r="L39" s="11" t="str">
        <f>TRIM(MID($A39,L$3,L$4-L$3))</f>
        <v>00:00:47</v>
      </c>
      <c r="M39" s="6" t="str">
        <f>TRIM(MID($A39,M$3,M$4-M$3))</f>
        <v/>
      </c>
    </row>
    <row r="40" spans="1:13" x14ac:dyDescent="0.4">
      <c r="A40" s="10" t="s">
        <v>102</v>
      </c>
      <c r="B40" s="7"/>
      <c r="C40" s="6" t="str">
        <f>TRIM(MID($A40,C$3,C$4-C$3))</f>
        <v>Closer (Jim Screechie Riddim)</v>
      </c>
      <c r="D40" s="6" t="str">
        <f>TRIM(MID($A40,D$3,D$4-D$3))</f>
        <v>Shanz</v>
      </c>
      <c r="E40" s="6" t="str">
        <f>TRIM(MID($A40,E$3,E$4-E$3))</f>
        <v>Jim Screechie Riddim</v>
      </c>
      <c r="F40" s="11" t="str">
        <f>TRIM(MID($A40,F$3,F$4-F$3))</f>
        <v>2010</v>
      </c>
      <c r="G40" s="11" t="str">
        <f>TRIM(MID($A40,G$3,G$4-G$3))</f>
        <v>Reggae@Riddim</v>
      </c>
      <c r="H40" s="11" t="str">
        <f>TRIM(MID($A40,H$3,H$4-H$3))</f>
        <v>119</v>
      </c>
      <c r="I40" s="11" t="str">
        <f>TRIM(MID($A40,I$3,I$4-I$3))</f>
        <v>1</v>
      </c>
      <c r="J40" s="11" t="str">
        <f>TRIM(MID($A40,J$3,J$4-J$3))</f>
        <v>11:45:53</v>
      </c>
      <c r="K40" s="11" t="str">
        <f>TRIM(MID($A40,K$3,K$4-K$3))</f>
        <v>11:46:33</v>
      </c>
      <c r="L40" s="11" t="str">
        <f>TRIM(MID($A40,L$3,L$4-L$3))</f>
        <v>00:00:40</v>
      </c>
      <c r="M40" s="6" t="str">
        <f>TRIM(MID($A40,M$3,M$4-M$3))</f>
        <v/>
      </c>
    </row>
    <row r="41" spans="1:13" x14ac:dyDescent="0.4">
      <c r="A41" s="10" t="s">
        <v>103</v>
      </c>
      <c r="B41" s="7"/>
      <c r="C41" s="6" t="str">
        <f>TRIM(MID($A41,C$3,C$4-C$3))</f>
        <v>Beat Dem Badd (Jim Screechie Riddim)</v>
      </c>
      <c r="D41" s="6" t="str">
        <f>TRIM(MID($A41,D$3,D$4-D$3))</f>
        <v>Beenie Man</v>
      </c>
      <c r="E41" s="6" t="str">
        <f>TRIM(MID($A41,E$3,E$4-E$3))</f>
        <v>Jim Screechie Riddim</v>
      </c>
      <c r="F41" s="11" t="str">
        <f>TRIM(MID($A41,F$3,F$4-F$3))</f>
        <v>2010</v>
      </c>
      <c r="G41" s="11" t="str">
        <f>TRIM(MID($A41,G$3,G$4-G$3))</f>
        <v>Reggae@Riddim</v>
      </c>
      <c r="H41" s="11" t="str">
        <f>TRIM(MID($A41,H$3,H$4-H$3))</f>
        <v>119</v>
      </c>
      <c r="I41" s="11" t="str">
        <f>TRIM(MID($A41,I$3,I$4-I$3))</f>
        <v>1</v>
      </c>
      <c r="J41" s="11" t="str">
        <f>TRIM(MID($A41,J$3,J$4-J$3))</f>
        <v>11:46:33</v>
      </c>
      <c r="K41" s="11" t="str">
        <f>TRIM(MID($A41,K$3,K$4-K$3))</f>
        <v>11:47:18</v>
      </c>
      <c r="L41" s="11" t="str">
        <f>TRIM(MID($A41,L$3,L$4-L$3))</f>
        <v>00:00:45</v>
      </c>
      <c r="M41" s="6" t="str">
        <f>TRIM(MID($A41,M$3,M$4-M$3))</f>
        <v/>
      </c>
    </row>
    <row r="42" spans="1:13" x14ac:dyDescent="0.4">
      <c r="A42" s="10" t="s">
        <v>104</v>
      </c>
      <c r="B42" s="7"/>
      <c r="C42" s="6" t="str">
        <f>TRIM(MID($A42,C$3,C$4-C$3))</f>
        <v>Beat Dem Badd (Jim Screechie Riddim)</v>
      </c>
      <c r="D42" s="6" t="str">
        <f>TRIM(MID($A42,D$3,D$4-D$3))</f>
        <v>Beenie Man</v>
      </c>
      <c r="E42" s="6" t="str">
        <f>TRIM(MID($A42,E$3,E$4-E$3))</f>
        <v>Jim Screechie Riddim</v>
      </c>
      <c r="F42" s="11" t="str">
        <f>TRIM(MID($A42,F$3,F$4-F$3))</f>
        <v>2010</v>
      </c>
      <c r="G42" s="11" t="str">
        <f>TRIM(MID($A42,G$3,G$4-G$3))</f>
        <v>Reggae@Riddim</v>
      </c>
      <c r="H42" s="11" t="str">
        <f>TRIM(MID($A42,H$3,H$4-H$3))</f>
        <v>119</v>
      </c>
      <c r="I42" s="11" t="str">
        <f>TRIM(MID($A42,I$3,I$4-I$3))</f>
        <v>1</v>
      </c>
      <c r="J42" s="11" t="str">
        <f>TRIM(MID($A42,J$3,J$4-J$3))</f>
        <v>11:47:18</v>
      </c>
      <c r="K42" s="11" t="str">
        <f>TRIM(MID($A42,K$3,K$4-K$3))</f>
        <v>11:47:22</v>
      </c>
      <c r="L42" s="11" t="str">
        <f>TRIM(MID($A42,L$3,L$4-L$3))</f>
        <v>00:00:04</v>
      </c>
      <c r="M42" s="6" t="str">
        <f>TRIM(MID($A42,M$3,M$4-M$3))</f>
        <v/>
      </c>
    </row>
    <row r="43" spans="1:13" x14ac:dyDescent="0.4">
      <c r="A43" s="10" t="s">
        <v>105</v>
      </c>
      <c r="B43" s="7"/>
      <c r="C43" s="6" t="str">
        <f>TRIM(MID($A43,C$3,C$4-C$3))</f>
        <v>Beat Dem Badd (Jim Screechie Riddim)</v>
      </c>
      <c r="D43" s="6" t="str">
        <f>TRIM(MID($A43,D$3,D$4-D$3))</f>
        <v>Beenie Man</v>
      </c>
      <c r="E43" s="6" t="str">
        <f>TRIM(MID($A43,E$3,E$4-E$3))</f>
        <v>Jim Screechie Riddim</v>
      </c>
      <c r="F43" s="11" t="str">
        <f>TRIM(MID($A43,F$3,F$4-F$3))</f>
        <v>2010</v>
      </c>
      <c r="G43" s="11" t="str">
        <f>TRIM(MID($A43,G$3,G$4-G$3))</f>
        <v>Reggae@Riddim</v>
      </c>
      <c r="H43" s="11" t="str">
        <f>TRIM(MID($A43,H$3,H$4-H$3))</f>
        <v>119</v>
      </c>
      <c r="I43" s="11" t="str">
        <f>TRIM(MID($A43,I$3,I$4-I$3))</f>
        <v>1</v>
      </c>
      <c r="J43" s="11" t="str">
        <f>TRIM(MID($A43,J$3,J$4-J$3))</f>
        <v>11:47:22</v>
      </c>
      <c r="K43" s="11" t="str">
        <f>TRIM(MID($A43,K$3,K$4-K$3))</f>
        <v>11:49:03</v>
      </c>
      <c r="L43" s="11" t="str">
        <f>TRIM(MID($A43,L$3,L$4-L$3))</f>
        <v>00:01:41</v>
      </c>
      <c r="M43" s="6" t="str">
        <f>TRIM(MID($A43,M$3,M$4-M$3))</f>
        <v/>
      </c>
    </row>
    <row r="44" spans="1:13" x14ac:dyDescent="0.4">
      <c r="A44" s="10" t="s">
        <v>106</v>
      </c>
      <c r="B44" s="7"/>
      <c r="C44" s="6" t="str">
        <f>TRIM(MID($A44,C$3,C$4-C$3))</f>
        <v>Closer (Jim Screechie Riddim)</v>
      </c>
      <c r="D44" s="6" t="str">
        <f>TRIM(MID($A44,D$3,D$4-D$3))</f>
        <v>Shanz</v>
      </c>
      <c r="E44" s="6" t="str">
        <f>TRIM(MID($A44,E$3,E$4-E$3))</f>
        <v>Jim Screechie Riddim</v>
      </c>
      <c r="F44" s="11" t="str">
        <f>TRIM(MID($A44,F$3,F$4-F$3))</f>
        <v>2010</v>
      </c>
      <c r="G44" s="11" t="str">
        <f>TRIM(MID($A44,G$3,G$4-G$3))</f>
        <v>Reggae@Riddim</v>
      </c>
      <c r="H44" s="11" t="str">
        <f>TRIM(MID($A44,H$3,H$4-H$3))</f>
        <v>119</v>
      </c>
      <c r="I44" s="11" t="str">
        <f>TRIM(MID($A44,I$3,I$4-I$3))</f>
        <v>2</v>
      </c>
      <c r="J44" s="11" t="str">
        <f>TRIM(MID($A44,J$3,J$4-J$3))</f>
        <v>11:47:30</v>
      </c>
      <c r="K44" s="11" t="str">
        <f>TRIM(MID($A44,K$3,K$4-K$3))</f>
        <v>11:49:50</v>
      </c>
      <c r="L44" s="11" t="str">
        <f>TRIM(MID($A44,L$3,L$4-L$3))</f>
        <v>00:02:20</v>
      </c>
      <c r="M44" s="6" t="str">
        <f>TRIM(MID($A44,M$3,M$4-M$3))</f>
        <v/>
      </c>
    </row>
    <row r="45" spans="1:13" x14ac:dyDescent="0.4">
      <c r="A45" s="10" t="s">
        <v>107</v>
      </c>
      <c r="B45" s="7"/>
      <c r="C45" s="6" t="str">
        <f>TRIM(MID($A45,C$3,C$4-C$3))</f>
        <v>For The Girls (Jim Screechie Riddim)</v>
      </c>
      <c r="D45" s="6" t="str">
        <f>TRIM(MID($A45,D$3,D$4-D$3))</f>
        <v>Rdx</v>
      </c>
      <c r="E45" s="6" t="str">
        <f>TRIM(MID($A45,E$3,E$4-E$3))</f>
        <v>Jim Screechie Riddim</v>
      </c>
      <c r="F45" s="11" t="str">
        <f>TRIM(MID($A45,F$3,F$4-F$3))</f>
        <v>2010</v>
      </c>
      <c r="G45" s="11" t="str">
        <f>TRIM(MID($A45,G$3,G$4-G$3))</f>
        <v>Reggae@Riddim</v>
      </c>
      <c r="H45" s="11" t="str">
        <f>TRIM(MID($A45,H$3,H$4-H$3))</f>
        <v>119</v>
      </c>
      <c r="I45" s="11" t="str">
        <f>TRIM(MID($A45,I$3,I$4-I$3))</f>
        <v>1</v>
      </c>
      <c r="J45" s="11" t="str">
        <f>TRIM(MID($A45,J$3,J$4-J$3))</f>
        <v>11:49:03</v>
      </c>
      <c r="K45" s="11" t="str">
        <f>TRIM(MID($A45,K$3,K$4-K$3))</f>
        <v>11:50:39</v>
      </c>
      <c r="L45" s="11" t="str">
        <f>TRIM(MID($A45,L$3,L$4-L$3))</f>
        <v>00:01:36</v>
      </c>
      <c r="M45" s="6" t="str">
        <f>TRIM(MID($A45,M$3,M$4-M$3))</f>
        <v/>
      </c>
    </row>
    <row r="46" spans="1:13" x14ac:dyDescent="0.4">
      <c r="A46" s="10" t="s">
        <v>108</v>
      </c>
      <c r="B46" s="7"/>
      <c r="C46" s="6" t="str">
        <f>TRIM(MID($A46,C$3,C$4-C$3))</f>
        <v>Hard Fi Find (Jim Screechie Riddim)</v>
      </c>
      <c r="D46" s="6" t="str">
        <f>TRIM(MID($A46,D$3,D$4-D$3))</f>
        <v>Versatile</v>
      </c>
      <c r="E46" s="6" t="str">
        <f>TRIM(MID($A46,E$3,E$4-E$3))</f>
        <v>Jim Screechie Riddim</v>
      </c>
      <c r="F46" s="11" t="str">
        <f>TRIM(MID($A46,F$3,F$4-F$3))</f>
        <v>2010</v>
      </c>
      <c r="G46" s="11" t="str">
        <f>TRIM(MID($A46,G$3,G$4-G$3))</f>
        <v>Reggae@Riddim</v>
      </c>
      <c r="H46" s="11" t="str">
        <f>TRIM(MID($A46,H$3,H$4-H$3))</f>
        <v>119</v>
      </c>
      <c r="I46" s="11" t="str">
        <f>TRIM(MID($A46,I$3,I$4-I$3))</f>
        <v>2</v>
      </c>
      <c r="J46" s="11" t="str">
        <f>TRIM(MID($A46,J$3,J$4-J$3))</f>
        <v>11:49:50</v>
      </c>
      <c r="K46" s="11" t="str">
        <f>TRIM(MID($A46,K$3,K$4-K$3))</f>
        <v>11:51:44</v>
      </c>
      <c r="L46" s="11" t="str">
        <f>TRIM(MID($A46,L$3,L$4-L$3))</f>
        <v>00:01:54</v>
      </c>
      <c r="M46" s="6" t="str">
        <f>TRIM(MID($A46,M$3,M$4-M$3))</f>
        <v/>
      </c>
    </row>
    <row r="47" spans="1:13" x14ac:dyDescent="0.4">
      <c r="A47" s="10" t="s">
        <v>109</v>
      </c>
      <c r="B47" s="7"/>
      <c r="C47" s="6" t="str">
        <f>TRIM(MID($A47,C$3,C$4-C$3))</f>
        <v>Jim Screechie (Jim Screechie Riddim)</v>
      </c>
      <c r="D47" s="6" t="str">
        <f>TRIM(MID($A47,D$3,D$4-D$3))</f>
        <v>Spice</v>
      </c>
      <c r="E47" s="6" t="str">
        <f>TRIM(MID($A47,E$3,E$4-E$3))</f>
        <v>Jim Screechie Riddim</v>
      </c>
      <c r="F47" s="11" t="str">
        <f>TRIM(MID($A47,F$3,F$4-F$3))</f>
        <v>2010</v>
      </c>
      <c r="G47" s="11" t="str">
        <f>TRIM(MID($A47,G$3,G$4-G$3))</f>
        <v>Reggae@Riddim</v>
      </c>
      <c r="H47" s="11" t="str">
        <f>TRIM(MID($A47,H$3,H$4-H$3))</f>
        <v>119</v>
      </c>
      <c r="I47" s="11" t="str">
        <f>TRIM(MID($A47,I$3,I$4-I$3))</f>
        <v>1</v>
      </c>
      <c r="J47" s="11" t="str">
        <f>TRIM(MID($A47,J$3,J$4-J$3))</f>
        <v>11:50:39</v>
      </c>
      <c r="K47" s="11" t="str">
        <f>TRIM(MID($A47,K$3,K$4-K$3))</f>
        <v>11:52:49</v>
      </c>
      <c r="L47" s="11" t="str">
        <f>TRIM(MID($A47,L$3,L$4-L$3))</f>
        <v>00:02:10</v>
      </c>
      <c r="M47" s="6" t="str">
        <f>TRIM(MID($A47,M$3,M$4-M$3))</f>
        <v/>
      </c>
    </row>
    <row r="48" spans="1:13" x14ac:dyDescent="0.4">
      <c r="A48" s="10" t="s">
        <v>110</v>
      </c>
      <c r="B48" s="7"/>
      <c r="C48" s="6" t="str">
        <f>TRIM(MID($A48,C$3,C$4-C$3))</f>
        <v>La La La (Jim Screechie Riddim)</v>
      </c>
      <c r="D48" s="6" t="str">
        <f>TRIM(MID($A48,D$3,D$4-D$3))</f>
        <v>Kemikal</v>
      </c>
      <c r="E48" s="6" t="str">
        <f>TRIM(MID($A48,E$3,E$4-E$3))</f>
        <v>Jim Screechie Riddim</v>
      </c>
      <c r="F48" s="11" t="str">
        <f>TRIM(MID($A48,F$3,F$4-F$3))</f>
        <v>2010</v>
      </c>
      <c r="G48" s="11" t="str">
        <f>TRIM(MID($A48,G$3,G$4-G$3))</f>
        <v>Reggae@Riddim</v>
      </c>
      <c r="H48" s="11" t="str">
        <f>TRIM(MID($A48,H$3,H$4-H$3))</f>
        <v>119</v>
      </c>
      <c r="I48" s="11" t="str">
        <f>TRIM(MID($A48,I$3,I$4-I$3))</f>
        <v>2</v>
      </c>
      <c r="J48" s="11" t="str">
        <f>TRIM(MID($A48,J$3,J$4-J$3))</f>
        <v>11:51:44</v>
      </c>
      <c r="K48" s="11" t="str">
        <f>TRIM(MID($A48,K$3,K$4-K$3))</f>
        <v>11:54:00</v>
      </c>
      <c r="L48" s="11" t="str">
        <f>TRIM(MID($A48,L$3,L$4-L$3))</f>
        <v>00:02:16</v>
      </c>
      <c r="M48" s="6" t="str">
        <f>TRIM(MID($A48,M$3,M$4-M$3))</f>
        <v/>
      </c>
    </row>
    <row r="49" spans="1:13" x14ac:dyDescent="0.4">
      <c r="A49" s="10" t="s">
        <v>111</v>
      </c>
      <c r="B49" s="7"/>
      <c r="C49" s="6" t="str">
        <f>TRIM(MID($A49,C$3,C$4-C$3))</f>
        <v>Everybody Clap (Jim Screechie Riddim)</v>
      </c>
      <c r="D49" s="6" t="str">
        <f>TRIM(MID($A49,D$3,D$4-D$3))</f>
        <v>T.O.K</v>
      </c>
      <c r="E49" s="6" t="str">
        <f>TRIM(MID($A49,E$3,E$4-E$3))</f>
        <v>Jim Screechie Riddim</v>
      </c>
      <c r="F49" s="11" t="str">
        <f>TRIM(MID($A49,F$3,F$4-F$3))</f>
        <v>2010</v>
      </c>
      <c r="G49" s="11" t="str">
        <f>TRIM(MID($A49,G$3,G$4-G$3))</f>
        <v>Reggae@Riddim</v>
      </c>
      <c r="H49" s="11" t="str">
        <f>TRIM(MID($A49,H$3,H$4-H$3))</f>
        <v>119</v>
      </c>
      <c r="I49" s="11" t="str">
        <f>TRIM(MID($A49,I$3,I$4-I$3))</f>
        <v>1</v>
      </c>
      <c r="J49" s="11" t="str">
        <f>TRIM(MID($A49,J$3,J$4-J$3))</f>
        <v>11:52:49</v>
      </c>
      <c r="K49" s="11" t="str">
        <f>TRIM(MID($A49,K$3,K$4-K$3))</f>
        <v>11:55:30</v>
      </c>
      <c r="L49" s="11" t="str">
        <f>TRIM(MID($A49,L$3,L$4-L$3))</f>
        <v>00:02:41</v>
      </c>
      <c r="M49" s="6" t="str">
        <f>TRIM(MID($A49,M$3,M$4-M$3))</f>
        <v/>
      </c>
    </row>
    <row r="50" spans="1:13" x14ac:dyDescent="0.4">
      <c r="A50" s="10" t="s">
        <v>112</v>
      </c>
      <c r="B50" s="7"/>
      <c r="C50" s="6" t="str">
        <f>TRIM(MID($A50,C$3,C$4-C$3))</f>
        <v>Only Girls [Raw] (Jim Screechie Riddim)</v>
      </c>
      <c r="D50" s="6" t="str">
        <f>TRIM(MID($A50,D$3,D$4-D$3))</f>
        <v>Bunji Garland</v>
      </c>
      <c r="E50" s="6" t="str">
        <f>TRIM(MID($A50,E$3,E$4-E$3))</f>
        <v>Jim Screechie Riddim</v>
      </c>
      <c r="F50" s="11" t="str">
        <f>TRIM(MID($A50,F$3,F$4-F$3))</f>
        <v>2010</v>
      </c>
      <c r="G50" s="11" t="str">
        <f>TRIM(MID($A50,G$3,G$4-G$3))</f>
        <v>Reggae@Riddim</v>
      </c>
      <c r="H50" s="11" t="str">
        <f>TRIM(MID($A50,H$3,H$4-H$3))</f>
        <v>119</v>
      </c>
      <c r="I50" s="11" t="str">
        <f>TRIM(MID($A50,I$3,I$4-I$3))</f>
        <v>2</v>
      </c>
      <c r="J50" s="11" t="str">
        <f>TRIM(MID($A50,J$3,J$4-J$3))</f>
        <v>11:54:00</v>
      </c>
      <c r="K50" s="11" t="str">
        <f>TRIM(MID($A50,K$3,K$4-K$3))</f>
        <v>11:56:20</v>
      </c>
      <c r="L50" s="11" t="str">
        <f>TRIM(MID($A50,L$3,L$4-L$3))</f>
        <v>00:02:20</v>
      </c>
      <c r="M50" s="6" t="str">
        <f>TRIM(MID($A50,M$3,M$4-M$3))</f>
        <v/>
      </c>
    </row>
    <row r="51" spans="1:13" x14ac:dyDescent="0.4">
      <c r="A51" s="10" t="s">
        <v>113</v>
      </c>
      <c r="B51" s="7"/>
      <c r="C51" s="6" t="str">
        <f>TRIM(MID($A51,C$3,C$4-C$3))</f>
        <v>Move! (Jim Screechie Riddim)</v>
      </c>
      <c r="D51" s="6" t="str">
        <f>TRIM(MID($A51,D$3,D$4-D$3))</f>
        <v>Akane feat Timberlee</v>
      </c>
      <c r="E51" s="6" t="str">
        <f>TRIM(MID($A51,E$3,E$4-E$3))</f>
        <v>Jim Screechie Riddim</v>
      </c>
      <c r="F51" s="11" t="str">
        <f>TRIM(MID($A51,F$3,F$4-F$3))</f>
        <v>2010</v>
      </c>
      <c r="G51" s="11" t="str">
        <f>TRIM(MID($A51,G$3,G$4-G$3))</f>
        <v>Reggae@Riddim</v>
      </c>
      <c r="H51" s="11" t="str">
        <f>TRIM(MID($A51,H$3,H$4-H$3))</f>
        <v>119</v>
      </c>
      <c r="I51" s="11" t="str">
        <f>TRIM(MID($A51,I$3,I$4-I$3))</f>
        <v>1</v>
      </c>
      <c r="J51" s="11" t="str">
        <f>TRIM(MID($A51,J$3,J$4-J$3))</f>
        <v>11:55:30</v>
      </c>
      <c r="K51" s="11" t="str">
        <f>TRIM(MID($A51,K$3,K$4-K$3))</f>
        <v>11:57:23</v>
      </c>
      <c r="L51" s="11" t="str">
        <f>TRIM(MID($A51,L$3,L$4-L$3))</f>
        <v>00:01:53</v>
      </c>
      <c r="M51" s="6" t="str">
        <f>TRIM(MID($A51,M$3,M$4-M$3))</f>
        <v/>
      </c>
    </row>
    <row r="52" spans="1:13" x14ac:dyDescent="0.4">
      <c r="A52" s="10" t="s">
        <v>114</v>
      </c>
      <c r="B52" s="7"/>
      <c r="C52" s="6" t="str">
        <f>TRIM(MID($A52,C$3,C$4-C$3))</f>
        <v>U Shoulda Know (Jim Screechie Riddim)</v>
      </c>
      <c r="D52" s="6" t="str">
        <f>TRIM(MID($A52,D$3,D$4-D$3))</f>
        <v>J.O.E</v>
      </c>
      <c r="E52" s="6" t="str">
        <f>TRIM(MID($A52,E$3,E$4-E$3))</f>
        <v>Jim Screechie Riddim</v>
      </c>
      <c r="F52" s="11" t="str">
        <f>TRIM(MID($A52,F$3,F$4-F$3))</f>
        <v>2010</v>
      </c>
      <c r="G52" s="11" t="str">
        <f>TRIM(MID($A52,G$3,G$4-G$3))</f>
        <v>Reggae@Riddim</v>
      </c>
      <c r="H52" s="11" t="str">
        <f>TRIM(MID($A52,H$3,H$4-H$3))</f>
        <v>119</v>
      </c>
      <c r="I52" s="11" t="str">
        <f>TRIM(MID($A52,I$3,I$4-I$3))</f>
        <v>2</v>
      </c>
      <c r="J52" s="11" t="str">
        <f>TRIM(MID($A52,J$3,J$4-J$3))</f>
        <v>11:56:20</v>
      </c>
      <c r="K52" s="11" t="str">
        <f>TRIM(MID($A52,K$3,K$4-K$3))</f>
        <v/>
      </c>
      <c r="L52" s="11" t="str">
        <f>TRIM(MID($A52,L$3,L$4-L$3))</f>
        <v/>
      </c>
      <c r="M52" s="6" t="str">
        <f>TRIM(MID($A52,M$3,M$4-M$3))</f>
        <v/>
      </c>
    </row>
    <row r="53" spans="1:13" x14ac:dyDescent="0.4">
      <c r="A53" s="10" t="s">
        <v>115</v>
      </c>
      <c r="B53" s="7"/>
      <c r="C53" s="6" t="str">
        <f>TRIM(MID($A53,C$3,C$4-C$3))</f>
        <v>Jackhammer [Raw] (Jim Screechie Riddim)</v>
      </c>
      <c r="D53" s="6" t="str">
        <f>TRIM(MID($A53,D$3,D$4-D$3))</f>
        <v>Aidonia</v>
      </c>
      <c r="E53" s="6" t="str">
        <f>TRIM(MID($A53,E$3,E$4-E$3))</f>
        <v>Jim Screechie Riddim</v>
      </c>
      <c r="F53" s="11" t="str">
        <f>TRIM(MID($A53,F$3,F$4-F$3))</f>
        <v>2010</v>
      </c>
      <c r="G53" s="11" t="str">
        <f>TRIM(MID($A53,G$3,G$4-G$3))</f>
        <v>Reggae@Riddim</v>
      </c>
      <c r="H53" s="11" t="str">
        <f>TRIM(MID($A53,H$3,H$4-H$3))</f>
        <v>119</v>
      </c>
      <c r="I53" s="11" t="str">
        <f>TRIM(MID($A53,I$3,I$4-I$3))</f>
        <v>1</v>
      </c>
      <c r="J53" s="11" t="str">
        <f>TRIM(MID($A53,J$3,J$4-J$3))</f>
        <v>11:57:23</v>
      </c>
      <c r="K53" s="11" t="str">
        <f>TRIM(MID($A53,K$3,K$4-K$3))</f>
        <v/>
      </c>
      <c r="L53" s="11" t="str">
        <f>TRIM(MID($A53,L$3,L$4-L$3))</f>
        <v/>
      </c>
      <c r="M53" s="6" t="str">
        <f>TRIM(MID($A53,M$3,M$4-M$3))</f>
        <v/>
      </c>
    </row>
    <row r="54" spans="1:13" x14ac:dyDescent="0.4">
      <c r="A54" s="10"/>
      <c r="B54" s="7"/>
      <c r="C54" s="6" t="str">
        <f>TRIM(MID($A54,C$3,C$4-C$3))</f>
        <v/>
      </c>
      <c r="D54" s="6" t="str">
        <f>TRIM(MID($A54,D$3,D$4-D$3))</f>
        <v/>
      </c>
      <c r="E54" s="6" t="str">
        <f>TRIM(MID($A54,E$3,E$4-E$3))</f>
        <v/>
      </c>
      <c r="F54" s="11" t="str">
        <f>TRIM(MID($A54,F$3,F$4-F$3))</f>
        <v/>
      </c>
      <c r="G54" s="11" t="str">
        <f>TRIM(MID($A54,G$3,G$4-G$3))</f>
        <v/>
      </c>
      <c r="H54" s="11" t="str">
        <f>TRIM(MID($A54,H$3,H$4-H$3))</f>
        <v/>
      </c>
      <c r="I54" s="11" t="str">
        <f>TRIM(MID($A54,I$3,I$4-I$3))</f>
        <v/>
      </c>
      <c r="J54" s="11" t="str">
        <f>TRIM(MID($A54,J$3,J$4-J$3))</f>
        <v/>
      </c>
      <c r="K54" s="11" t="str">
        <f>TRIM(MID($A54,K$3,K$4-K$3))</f>
        <v/>
      </c>
      <c r="L54" s="11" t="str">
        <f>TRIM(MID($A54,L$3,L$4-L$3))</f>
        <v/>
      </c>
      <c r="M54" s="6" t="str">
        <f>TRIM(MID($A54,M$3,M$4-M$3))</f>
        <v/>
      </c>
    </row>
    <row r="55" spans="1:13" x14ac:dyDescent="0.4">
      <c r="A55" s="10"/>
      <c r="B55" s="7"/>
      <c r="C55" s="6" t="str">
        <f>TRIM(MID($A55,C$3,C$4-C$3))</f>
        <v/>
      </c>
      <c r="D55" s="6" t="str">
        <f>TRIM(MID($A55,D$3,D$4-D$3))</f>
        <v/>
      </c>
      <c r="E55" s="6" t="str">
        <f>TRIM(MID($A55,E$3,E$4-E$3))</f>
        <v/>
      </c>
      <c r="F55" s="11" t="str">
        <f>TRIM(MID($A55,F$3,F$4-F$3))</f>
        <v/>
      </c>
      <c r="G55" s="11" t="str">
        <f>TRIM(MID($A55,G$3,G$4-G$3))</f>
        <v/>
      </c>
      <c r="H55" s="11" t="str">
        <f>TRIM(MID($A55,H$3,H$4-H$3))</f>
        <v/>
      </c>
      <c r="I55" s="11" t="str">
        <f>TRIM(MID($A55,I$3,I$4-I$3))</f>
        <v/>
      </c>
      <c r="J55" s="11" t="str">
        <f>TRIM(MID($A55,J$3,J$4-J$3))</f>
        <v/>
      </c>
      <c r="K55" s="11" t="str">
        <f>TRIM(MID($A55,K$3,K$4-K$3))</f>
        <v/>
      </c>
      <c r="L55" s="11" t="str">
        <f>TRIM(MID($A55,L$3,L$4-L$3))</f>
        <v/>
      </c>
      <c r="M55" s="6" t="str">
        <f>TRIM(MID($A55,M$3,M$4-M$3))</f>
        <v/>
      </c>
    </row>
    <row r="56" spans="1:13" x14ac:dyDescent="0.4">
      <c r="A56" s="10"/>
      <c r="B56" s="7"/>
      <c r="C56" s="6" t="str">
        <f>TRIM(MID($A56,C$3,C$4-C$3))</f>
        <v/>
      </c>
      <c r="D56" s="6" t="str">
        <f>TRIM(MID($A56,D$3,D$4-D$3))</f>
        <v/>
      </c>
      <c r="E56" s="6" t="str">
        <f>TRIM(MID($A56,E$3,E$4-E$3))</f>
        <v/>
      </c>
      <c r="F56" s="11" t="str">
        <f>TRIM(MID($A56,F$3,F$4-F$3))</f>
        <v/>
      </c>
      <c r="G56" s="11" t="str">
        <f>TRIM(MID($A56,G$3,G$4-G$3))</f>
        <v/>
      </c>
      <c r="H56" s="11" t="str">
        <f>TRIM(MID($A56,H$3,H$4-H$3))</f>
        <v/>
      </c>
      <c r="I56" s="11" t="str">
        <f>TRIM(MID($A56,I$3,I$4-I$3))</f>
        <v/>
      </c>
      <c r="J56" s="11" t="str">
        <f>TRIM(MID($A56,J$3,J$4-J$3))</f>
        <v/>
      </c>
      <c r="K56" s="11" t="str">
        <f>TRIM(MID($A56,K$3,K$4-K$3))</f>
        <v/>
      </c>
      <c r="L56" s="11" t="str">
        <f>TRIM(MID($A56,L$3,L$4-L$3))</f>
        <v/>
      </c>
      <c r="M56" s="6" t="str">
        <f>TRIM(MID($A56,M$3,M$4-M$3))</f>
        <v/>
      </c>
    </row>
    <row r="57" spans="1:13" x14ac:dyDescent="0.4">
      <c r="A57" s="10"/>
      <c r="B57" s="7"/>
      <c r="C57" s="6" t="str">
        <f>TRIM(MID($A57,C$3,C$4-C$3))</f>
        <v/>
      </c>
      <c r="D57" s="6" t="str">
        <f>TRIM(MID($A57,D$3,D$4-D$3))</f>
        <v/>
      </c>
      <c r="E57" s="6" t="str">
        <f>TRIM(MID($A57,E$3,E$4-E$3))</f>
        <v/>
      </c>
      <c r="F57" s="11" t="str">
        <f>TRIM(MID($A57,F$3,F$4-F$3))</f>
        <v/>
      </c>
      <c r="G57" s="11" t="str">
        <f>TRIM(MID($A57,G$3,G$4-G$3))</f>
        <v/>
      </c>
      <c r="H57" s="11" t="str">
        <f>TRIM(MID($A57,H$3,H$4-H$3))</f>
        <v/>
      </c>
      <c r="I57" s="11" t="str">
        <f>TRIM(MID($A57,I$3,I$4-I$3))</f>
        <v/>
      </c>
      <c r="J57" s="11" t="str">
        <f>TRIM(MID($A57,J$3,J$4-J$3))</f>
        <v/>
      </c>
      <c r="K57" s="11" t="str">
        <f>TRIM(MID($A57,K$3,K$4-K$3))</f>
        <v/>
      </c>
      <c r="L57" s="11" t="str">
        <f>TRIM(MID($A57,L$3,L$4-L$3))</f>
        <v/>
      </c>
      <c r="M57" s="6" t="str">
        <f>TRIM(MID($A57,M$3,M$4-M$3))</f>
        <v/>
      </c>
    </row>
    <row r="58" spans="1:13" x14ac:dyDescent="0.4">
      <c r="A58" s="10"/>
      <c r="B58" s="7"/>
      <c r="C58" s="6" t="str">
        <f>TRIM(MID($A58,C$3,C$4-C$3))</f>
        <v/>
      </c>
      <c r="D58" s="6" t="str">
        <f>TRIM(MID($A58,D$3,D$4-D$3))</f>
        <v/>
      </c>
      <c r="E58" s="6" t="str">
        <f>TRIM(MID($A58,E$3,E$4-E$3))</f>
        <v/>
      </c>
      <c r="F58" s="11" t="str">
        <f>TRIM(MID($A58,F$3,F$4-F$3))</f>
        <v/>
      </c>
      <c r="G58" s="11" t="str">
        <f>TRIM(MID($A58,G$3,G$4-G$3))</f>
        <v/>
      </c>
      <c r="H58" s="11" t="str">
        <f>TRIM(MID($A58,H$3,H$4-H$3))</f>
        <v/>
      </c>
      <c r="I58" s="11" t="str">
        <f>TRIM(MID($A58,I$3,I$4-I$3))</f>
        <v/>
      </c>
      <c r="J58" s="11" t="str">
        <f>TRIM(MID($A58,J$3,J$4-J$3))</f>
        <v/>
      </c>
      <c r="K58" s="11" t="str">
        <f>TRIM(MID($A58,K$3,K$4-K$3))</f>
        <v/>
      </c>
      <c r="L58" s="11" t="str">
        <f>TRIM(MID($A58,L$3,L$4-L$3))</f>
        <v/>
      </c>
      <c r="M58" s="6" t="str">
        <f>TRIM(MID($A58,M$3,M$4-M$3))</f>
        <v/>
      </c>
    </row>
    <row r="59" spans="1:13" x14ac:dyDescent="0.4">
      <c r="A59" s="10"/>
      <c r="B59" s="7"/>
      <c r="C59" s="6" t="str">
        <f>TRIM(MID($A59,C$3,C$4-C$3))</f>
        <v/>
      </c>
      <c r="D59" s="6" t="str">
        <f>TRIM(MID($A59,D$3,D$4-D$3))</f>
        <v/>
      </c>
      <c r="E59" s="6" t="str">
        <f>TRIM(MID($A59,E$3,E$4-E$3))</f>
        <v/>
      </c>
      <c r="F59" s="11" t="str">
        <f>TRIM(MID($A59,F$3,F$4-F$3))</f>
        <v/>
      </c>
      <c r="G59" s="11" t="str">
        <f>TRIM(MID($A59,G$3,G$4-G$3))</f>
        <v/>
      </c>
      <c r="H59" s="11" t="str">
        <f>TRIM(MID($A59,H$3,H$4-H$3))</f>
        <v/>
      </c>
      <c r="I59" s="11" t="str">
        <f>TRIM(MID($A59,I$3,I$4-I$3))</f>
        <v/>
      </c>
      <c r="J59" s="11" t="str">
        <f>TRIM(MID($A59,J$3,J$4-J$3))</f>
        <v/>
      </c>
      <c r="K59" s="11" t="str">
        <f>TRIM(MID($A59,K$3,K$4-K$3))</f>
        <v/>
      </c>
      <c r="L59" s="11" t="str">
        <f>TRIM(MID($A59,L$3,L$4-L$3))</f>
        <v/>
      </c>
      <c r="M59" s="6" t="str">
        <f>TRIM(MID($A59,M$3,M$4-M$3))</f>
        <v/>
      </c>
    </row>
    <row r="60" spans="1:13" x14ac:dyDescent="0.4">
      <c r="A60" s="10"/>
      <c r="B60" s="7"/>
      <c r="C60" s="6" t="str">
        <f>TRIM(MID($A60,C$3,C$4-C$3))</f>
        <v/>
      </c>
      <c r="D60" s="6" t="str">
        <f>TRIM(MID($A60,D$3,D$4-D$3))</f>
        <v/>
      </c>
      <c r="E60" s="6" t="str">
        <f>TRIM(MID($A60,E$3,E$4-E$3))</f>
        <v/>
      </c>
      <c r="F60" s="11" t="str">
        <f>TRIM(MID($A60,F$3,F$4-F$3))</f>
        <v/>
      </c>
      <c r="G60" s="11" t="str">
        <f>TRIM(MID($A60,G$3,G$4-G$3))</f>
        <v/>
      </c>
      <c r="H60" s="11" t="str">
        <f>TRIM(MID($A60,H$3,H$4-H$3))</f>
        <v/>
      </c>
      <c r="I60" s="11" t="str">
        <f>TRIM(MID($A60,I$3,I$4-I$3))</f>
        <v/>
      </c>
      <c r="J60" s="11" t="str">
        <f>TRIM(MID($A60,J$3,J$4-J$3))</f>
        <v/>
      </c>
      <c r="K60" s="11" t="str">
        <f>TRIM(MID($A60,K$3,K$4-K$3))</f>
        <v/>
      </c>
      <c r="L60" s="11" t="str">
        <f>TRIM(MID($A60,L$3,L$4-L$3))</f>
        <v/>
      </c>
      <c r="M60" s="6" t="str">
        <f>TRIM(MID($A60,M$3,M$4-M$3))</f>
        <v/>
      </c>
    </row>
    <row r="61" spans="1:13" x14ac:dyDescent="0.4">
      <c r="A61" s="10"/>
      <c r="B61" s="7"/>
      <c r="C61" s="6" t="str">
        <f>TRIM(MID($A61,C$3,C$4-C$3))</f>
        <v/>
      </c>
      <c r="D61" s="6" t="str">
        <f>TRIM(MID($A61,D$3,D$4-D$3))</f>
        <v/>
      </c>
      <c r="E61" s="6" t="str">
        <f>TRIM(MID($A61,E$3,E$4-E$3))</f>
        <v/>
      </c>
      <c r="F61" s="11" t="str">
        <f>TRIM(MID($A61,F$3,F$4-F$3))</f>
        <v/>
      </c>
      <c r="G61" s="11" t="str">
        <f>TRIM(MID($A61,G$3,G$4-G$3))</f>
        <v/>
      </c>
      <c r="H61" s="11" t="str">
        <f>TRIM(MID($A61,H$3,H$4-H$3))</f>
        <v/>
      </c>
      <c r="I61" s="11" t="str">
        <f>TRIM(MID($A61,I$3,I$4-I$3))</f>
        <v/>
      </c>
      <c r="J61" s="11" t="str">
        <f>TRIM(MID($A61,J$3,J$4-J$3))</f>
        <v/>
      </c>
      <c r="K61" s="11" t="str">
        <f>TRIM(MID($A61,K$3,K$4-K$3))</f>
        <v/>
      </c>
      <c r="L61" s="11" t="str">
        <f>TRIM(MID($A61,L$3,L$4-L$3))</f>
        <v/>
      </c>
      <c r="M61" s="6" t="str">
        <f>TRIM(MID($A61,M$3,M$4-M$3))</f>
        <v/>
      </c>
    </row>
    <row r="62" spans="1:13" x14ac:dyDescent="0.4">
      <c r="A62" s="10"/>
      <c r="B62" s="7"/>
      <c r="C62" s="6" t="str">
        <f>TRIM(MID($A62,C$3,C$4-C$3))</f>
        <v/>
      </c>
      <c r="D62" s="6" t="str">
        <f>TRIM(MID($A62,D$3,D$4-D$3))</f>
        <v/>
      </c>
      <c r="E62" s="6" t="str">
        <f>TRIM(MID($A62,E$3,E$4-E$3))</f>
        <v/>
      </c>
      <c r="F62" s="11" t="str">
        <f>TRIM(MID($A62,F$3,F$4-F$3))</f>
        <v/>
      </c>
      <c r="G62" s="11" t="str">
        <f>TRIM(MID($A62,G$3,G$4-G$3))</f>
        <v/>
      </c>
      <c r="H62" s="11" t="str">
        <f>TRIM(MID($A62,H$3,H$4-H$3))</f>
        <v/>
      </c>
      <c r="I62" s="11" t="str">
        <f>TRIM(MID($A62,I$3,I$4-I$3))</f>
        <v/>
      </c>
      <c r="J62" s="11" t="str">
        <f>TRIM(MID($A62,J$3,J$4-J$3))</f>
        <v/>
      </c>
      <c r="K62" s="11" t="str">
        <f>TRIM(MID($A62,K$3,K$4-K$3))</f>
        <v/>
      </c>
      <c r="L62" s="11" t="str">
        <f>TRIM(MID($A62,L$3,L$4-L$3))</f>
        <v/>
      </c>
      <c r="M62" s="6" t="str">
        <f>TRIM(MID($A62,M$3,M$4-M$3))</f>
        <v/>
      </c>
    </row>
    <row r="63" spans="1:13" x14ac:dyDescent="0.4">
      <c r="A63" s="10"/>
      <c r="B63" s="7"/>
      <c r="C63" s="6" t="str">
        <f>TRIM(MID($A63,C$3,C$4-C$3))</f>
        <v/>
      </c>
      <c r="D63" s="6" t="str">
        <f>TRIM(MID($A63,D$3,D$4-D$3))</f>
        <v/>
      </c>
      <c r="E63" s="6" t="str">
        <f>TRIM(MID($A63,E$3,E$4-E$3))</f>
        <v/>
      </c>
      <c r="F63" s="11" t="str">
        <f>TRIM(MID($A63,F$3,F$4-F$3))</f>
        <v/>
      </c>
      <c r="G63" s="11" t="str">
        <f>TRIM(MID($A63,G$3,G$4-G$3))</f>
        <v/>
      </c>
      <c r="H63" s="11" t="str">
        <f>TRIM(MID($A63,H$3,H$4-H$3))</f>
        <v/>
      </c>
      <c r="I63" s="11" t="str">
        <f>TRIM(MID($A63,I$3,I$4-I$3))</f>
        <v/>
      </c>
      <c r="J63" s="11" t="str">
        <f>TRIM(MID($A63,J$3,J$4-J$3))</f>
        <v/>
      </c>
      <c r="K63" s="11" t="str">
        <f>TRIM(MID($A63,K$3,K$4-K$3))</f>
        <v/>
      </c>
      <c r="L63" s="11" t="str">
        <f>TRIM(MID($A63,L$3,L$4-L$3))</f>
        <v/>
      </c>
      <c r="M63" s="6" t="str">
        <f>TRIM(MID($A63,M$3,M$4-M$3))</f>
        <v/>
      </c>
    </row>
    <row r="64" spans="1:13" x14ac:dyDescent="0.4">
      <c r="A64" s="10"/>
      <c r="B64" s="7"/>
      <c r="C64" s="6" t="str">
        <f>TRIM(MID($A64,C$3,C$4-C$3))</f>
        <v/>
      </c>
      <c r="D64" s="6" t="str">
        <f>TRIM(MID($A64,D$3,D$4-D$3))</f>
        <v/>
      </c>
      <c r="E64" s="6" t="str">
        <f>TRIM(MID($A64,E$3,E$4-E$3))</f>
        <v/>
      </c>
      <c r="F64" s="11" t="str">
        <f>TRIM(MID($A64,F$3,F$4-F$3))</f>
        <v/>
      </c>
      <c r="G64" s="11" t="str">
        <f>TRIM(MID($A64,G$3,G$4-G$3))</f>
        <v/>
      </c>
      <c r="H64" s="11" t="str">
        <f>TRIM(MID($A64,H$3,H$4-H$3))</f>
        <v/>
      </c>
      <c r="I64" s="11" t="str">
        <f>TRIM(MID($A64,I$3,I$4-I$3))</f>
        <v/>
      </c>
      <c r="J64" s="11" t="str">
        <f>TRIM(MID($A64,J$3,J$4-J$3))</f>
        <v/>
      </c>
      <c r="K64" s="11" t="str">
        <f>TRIM(MID($A64,K$3,K$4-K$3))</f>
        <v/>
      </c>
      <c r="L64" s="11" t="str">
        <f>TRIM(MID($A64,L$3,L$4-L$3))</f>
        <v/>
      </c>
      <c r="M64" s="6" t="str">
        <f>TRIM(MID($A64,M$3,M$4-M$3))</f>
        <v/>
      </c>
    </row>
    <row r="65" spans="1:13" x14ac:dyDescent="0.4">
      <c r="A65" s="10"/>
      <c r="B65" s="7"/>
      <c r="C65" s="6" t="str">
        <f>TRIM(MID($A65,C$3,C$4-C$3))</f>
        <v/>
      </c>
      <c r="D65" s="6" t="str">
        <f>TRIM(MID($A65,D$3,D$4-D$3))</f>
        <v/>
      </c>
      <c r="E65" s="6" t="str">
        <f>TRIM(MID($A65,E$3,E$4-E$3))</f>
        <v/>
      </c>
      <c r="F65" s="11" t="str">
        <f>TRIM(MID($A65,F$3,F$4-F$3))</f>
        <v/>
      </c>
      <c r="G65" s="11" t="str">
        <f>TRIM(MID($A65,G$3,G$4-G$3))</f>
        <v/>
      </c>
      <c r="H65" s="11" t="str">
        <f>TRIM(MID($A65,H$3,H$4-H$3))</f>
        <v/>
      </c>
      <c r="I65" s="11" t="str">
        <f>TRIM(MID($A65,I$3,I$4-I$3))</f>
        <v/>
      </c>
      <c r="J65" s="11" t="str">
        <f>TRIM(MID($A65,J$3,J$4-J$3))</f>
        <v/>
      </c>
      <c r="K65" s="11" t="str">
        <f>TRIM(MID($A65,K$3,K$4-K$3))</f>
        <v/>
      </c>
      <c r="L65" s="11" t="str">
        <f>TRIM(MID($A65,L$3,L$4-L$3))</f>
        <v/>
      </c>
      <c r="M65" s="6" t="str">
        <f>TRIM(MID($A65,M$3,M$4-M$3))</f>
        <v/>
      </c>
    </row>
    <row r="66" spans="1:13" x14ac:dyDescent="0.4">
      <c r="A66" s="10"/>
      <c r="B66" s="7"/>
      <c r="C66" s="6" t="str">
        <f>TRIM(MID($A66,C$3,C$4-C$3))</f>
        <v/>
      </c>
      <c r="D66" s="6" t="str">
        <f>TRIM(MID($A66,D$3,D$4-D$3))</f>
        <v/>
      </c>
      <c r="E66" s="6" t="str">
        <f>TRIM(MID($A66,E$3,E$4-E$3))</f>
        <v/>
      </c>
      <c r="F66" s="11" t="str">
        <f>TRIM(MID($A66,F$3,F$4-F$3))</f>
        <v/>
      </c>
      <c r="G66" s="11" t="str">
        <f>TRIM(MID($A66,G$3,G$4-G$3))</f>
        <v/>
      </c>
      <c r="H66" s="11" t="str">
        <f>TRIM(MID($A66,H$3,H$4-H$3))</f>
        <v/>
      </c>
      <c r="I66" s="11" t="str">
        <f>TRIM(MID($A66,I$3,I$4-I$3))</f>
        <v/>
      </c>
      <c r="J66" s="11" t="str">
        <f>TRIM(MID($A66,J$3,J$4-J$3))</f>
        <v/>
      </c>
      <c r="K66" s="11" t="str">
        <f>TRIM(MID($A66,K$3,K$4-K$3))</f>
        <v/>
      </c>
      <c r="L66" s="11" t="str">
        <f>TRIM(MID($A66,L$3,L$4-L$3))</f>
        <v/>
      </c>
      <c r="M66" s="6" t="str">
        <f>TRIM(MID($A66,M$3,M$4-M$3))</f>
        <v/>
      </c>
    </row>
    <row r="67" spans="1:13" x14ac:dyDescent="0.4">
      <c r="A67" s="10"/>
      <c r="B67" s="7"/>
      <c r="C67" s="6" t="str">
        <f>TRIM(MID($A67,C$3,C$4-C$3))</f>
        <v/>
      </c>
      <c r="D67" s="6" t="str">
        <f>TRIM(MID($A67,D$3,D$4-D$3))</f>
        <v/>
      </c>
      <c r="E67" s="6" t="str">
        <f>TRIM(MID($A67,E$3,E$4-E$3))</f>
        <v/>
      </c>
      <c r="F67" s="11" t="str">
        <f>TRIM(MID($A67,F$3,F$4-F$3))</f>
        <v/>
      </c>
      <c r="G67" s="11" t="str">
        <f>TRIM(MID($A67,G$3,G$4-G$3))</f>
        <v/>
      </c>
      <c r="H67" s="11" t="str">
        <f>TRIM(MID($A67,H$3,H$4-H$3))</f>
        <v/>
      </c>
      <c r="I67" s="11" t="str">
        <f>TRIM(MID($A67,I$3,I$4-I$3))</f>
        <v/>
      </c>
      <c r="J67" s="11" t="str">
        <f>TRIM(MID($A67,J$3,J$4-J$3))</f>
        <v/>
      </c>
      <c r="K67" s="11" t="str">
        <f>TRIM(MID($A67,K$3,K$4-K$3))</f>
        <v/>
      </c>
      <c r="L67" s="11" t="str">
        <f>TRIM(MID($A67,L$3,L$4-L$3))</f>
        <v/>
      </c>
      <c r="M67" s="6" t="str">
        <f>TRIM(MID($A67,M$3,M$4-M$3))</f>
        <v/>
      </c>
    </row>
    <row r="68" spans="1:13" x14ac:dyDescent="0.4">
      <c r="A68" s="10"/>
      <c r="B68" s="7"/>
      <c r="C68" s="6" t="str">
        <f>TRIM(MID($A68,C$3,C$4-C$3))</f>
        <v/>
      </c>
      <c r="D68" s="6" t="str">
        <f>TRIM(MID($A68,D$3,D$4-D$3))</f>
        <v/>
      </c>
      <c r="E68" s="6" t="str">
        <f>TRIM(MID($A68,E$3,E$4-E$3))</f>
        <v/>
      </c>
      <c r="F68" s="11" t="str">
        <f>TRIM(MID($A68,F$3,F$4-F$3))</f>
        <v/>
      </c>
      <c r="G68" s="11" t="str">
        <f>TRIM(MID($A68,G$3,G$4-G$3))</f>
        <v/>
      </c>
      <c r="H68" s="11" t="str">
        <f>TRIM(MID($A68,H$3,H$4-H$3))</f>
        <v/>
      </c>
      <c r="I68" s="11" t="str">
        <f>TRIM(MID($A68,I$3,I$4-I$3))</f>
        <v/>
      </c>
      <c r="J68" s="11" t="str">
        <f>TRIM(MID($A68,J$3,J$4-J$3))</f>
        <v/>
      </c>
      <c r="K68" s="11" t="str">
        <f>TRIM(MID($A68,K$3,K$4-K$3))</f>
        <v/>
      </c>
      <c r="L68" s="11" t="str">
        <f>TRIM(MID($A68,L$3,L$4-L$3))</f>
        <v/>
      </c>
      <c r="M68" s="6" t="str">
        <f>TRIM(MID($A68,M$3,M$4-M$3))</f>
        <v/>
      </c>
    </row>
    <row r="69" spans="1:13" x14ac:dyDescent="0.4">
      <c r="A69" s="10"/>
      <c r="B69" s="7"/>
      <c r="C69" s="6" t="str">
        <f>TRIM(MID($A69,C$3,C$4-C$3))</f>
        <v/>
      </c>
      <c r="D69" s="6" t="str">
        <f>TRIM(MID($A69,D$3,D$4-D$3))</f>
        <v/>
      </c>
      <c r="E69" s="6" t="str">
        <f>TRIM(MID($A69,E$3,E$4-E$3))</f>
        <v/>
      </c>
      <c r="F69" s="11" t="str">
        <f>TRIM(MID($A69,F$3,F$4-F$3))</f>
        <v/>
      </c>
      <c r="G69" s="11" t="str">
        <f>TRIM(MID($A69,G$3,G$4-G$3))</f>
        <v/>
      </c>
      <c r="H69" s="11" t="str">
        <f>TRIM(MID($A69,H$3,H$4-H$3))</f>
        <v/>
      </c>
      <c r="I69" s="11" t="str">
        <f>TRIM(MID($A69,I$3,I$4-I$3))</f>
        <v/>
      </c>
      <c r="J69" s="11" t="str">
        <f>TRIM(MID($A69,J$3,J$4-J$3))</f>
        <v/>
      </c>
      <c r="K69" s="11" t="str">
        <f>TRIM(MID($A69,K$3,K$4-K$3))</f>
        <v/>
      </c>
      <c r="L69" s="11" t="str">
        <f>TRIM(MID($A69,L$3,L$4-L$3))</f>
        <v/>
      </c>
      <c r="M69" s="6" t="str">
        <f>TRIM(MID($A69,M$3,M$4-M$3))</f>
        <v/>
      </c>
    </row>
    <row r="70" spans="1:13" x14ac:dyDescent="0.4">
      <c r="A70" s="10"/>
      <c r="B70" s="7"/>
      <c r="C70" s="6" t="str">
        <f>TRIM(MID($A70,C$3,C$4-C$3))</f>
        <v/>
      </c>
      <c r="D70" s="6" t="str">
        <f>TRIM(MID($A70,D$3,D$4-D$3))</f>
        <v/>
      </c>
      <c r="E70" s="6" t="str">
        <f>TRIM(MID($A70,E$3,E$4-E$3))</f>
        <v/>
      </c>
      <c r="F70" s="11" t="str">
        <f>TRIM(MID($A70,F$3,F$4-F$3))</f>
        <v/>
      </c>
      <c r="G70" s="11" t="str">
        <f>TRIM(MID($A70,G$3,G$4-G$3))</f>
        <v/>
      </c>
      <c r="H70" s="11" t="str">
        <f>TRIM(MID($A70,H$3,H$4-H$3))</f>
        <v/>
      </c>
      <c r="I70" s="11" t="str">
        <f>TRIM(MID($A70,I$3,I$4-I$3))</f>
        <v/>
      </c>
      <c r="J70" s="11" t="str">
        <f>TRIM(MID($A70,J$3,J$4-J$3))</f>
        <v/>
      </c>
      <c r="K70" s="11" t="str">
        <f>TRIM(MID($A70,K$3,K$4-K$3))</f>
        <v/>
      </c>
      <c r="L70" s="11" t="str">
        <f>TRIM(MID($A70,L$3,L$4-L$3))</f>
        <v/>
      </c>
      <c r="M70" s="6" t="str">
        <f>TRIM(MID($A70,M$3,M$4-M$3))</f>
        <v/>
      </c>
    </row>
    <row r="71" spans="1:13" x14ac:dyDescent="0.4">
      <c r="A71" s="10"/>
      <c r="B71" s="7"/>
      <c r="C71" s="6" t="str">
        <f>TRIM(MID($A71,C$3,C$4-C$3))</f>
        <v/>
      </c>
      <c r="D71" s="6" t="str">
        <f>TRIM(MID($A71,D$3,D$4-D$3))</f>
        <v/>
      </c>
      <c r="E71" s="6" t="str">
        <f>TRIM(MID($A71,E$3,E$4-E$3))</f>
        <v/>
      </c>
      <c r="F71" s="11" t="str">
        <f>TRIM(MID($A71,F$3,F$4-F$3))</f>
        <v/>
      </c>
      <c r="G71" s="11" t="str">
        <f>TRIM(MID($A71,G$3,G$4-G$3))</f>
        <v/>
      </c>
      <c r="H71" s="11" t="str">
        <f>TRIM(MID($A71,H$3,H$4-H$3))</f>
        <v/>
      </c>
      <c r="I71" s="11" t="str">
        <f>TRIM(MID($A71,I$3,I$4-I$3))</f>
        <v/>
      </c>
      <c r="J71" s="11" t="str">
        <f>TRIM(MID($A71,J$3,J$4-J$3))</f>
        <v/>
      </c>
      <c r="K71" s="11" t="str">
        <f>TRIM(MID($A71,K$3,K$4-K$3))</f>
        <v/>
      </c>
      <c r="L71" s="11" t="str">
        <f>TRIM(MID($A71,L$3,L$4-L$3))</f>
        <v/>
      </c>
      <c r="M71" s="6" t="str">
        <f>TRIM(MID($A71,M$3,M$4-M$3))</f>
        <v/>
      </c>
    </row>
    <row r="72" spans="1:13" x14ac:dyDescent="0.4">
      <c r="A72" s="10"/>
      <c r="B72" s="7"/>
      <c r="C72" s="6" t="str">
        <f>TRIM(MID($A72,C$3,C$4-C$3))</f>
        <v/>
      </c>
      <c r="D72" s="6" t="str">
        <f>TRIM(MID($A72,D$3,D$4-D$3))</f>
        <v/>
      </c>
      <c r="E72" s="6" t="str">
        <f>TRIM(MID($A72,E$3,E$4-E$3))</f>
        <v/>
      </c>
      <c r="F72" s="11" t="str">
        <f>TRIM(MID($A72,F$3,F$4-F$3))</f>
        <v/>
      </c>
      <c r="G72" s="11" t="str">
        <f>TRIM(MID($A72,G$3,G$4-G$3))</f>
        <v/>
      </c>
      <c r="H72" s="11" t="str">
        <f>TRIM(MID($A72,H$3,H$4-H$3))</f>
        <v/>
      </c>
      <c r="I72" s="11" t="str">
        <f>TRIM(MID($A72,I$3,I$4-I$3))</f>
        <v/>
      </c>
      <c r="J72" s="11" t="str">
        <f>TRIM(MID($A72,J$3,J$4-J$3))</f>
        <v/>
      </c>
      <c r="K72" s="11" t="str">
        <f>TRIM(MID($A72,K$3,K$4-K$3))</f>
        <v/>
      </c>
      <c r="L72" s="11" t="str">
        <f>TRIM(MID($A72,L$3,L$4-L$3))</f>
        <v/>
      </c>
      <c r="M72" s="6" t="str">
        <f>TRIM(MID($A72,M$3,M$4-M$3))</f>
        <v/>
      </c>
    </row>
    <row r="73" spans="1:13" x14ac:dyDescent="0.4">
      <c r="A73" s="10"/>
      <c r="B73" s="7"/>
      <c r="C73" s="6" t="str">
        <f>TRIM(MID($A73,C$3,C$4-C$3))</f>
        <v/>
      </c>
      <c r="D73" s="6" t="str">
        <f>TRIM(MID($A73,D$3,D$4-D$3))</f>
        <v/>
      </c>
      <c r="E73" s="6" t="str">
        <f>TRIM(MID($A73,E$3,E$4-E$3))</f>
        <v/>
      </c>
      <c r="F73" s="11" t="str">
        <f>TRIM(MID($A73,F$3,F$4-F$3))</f>
        <v/>
      </c>
      <c r="G73" s="11" t="str">
        <f>TRIM(MID($A73,G$3,G$4-G$3))</f>
        <v/>
      </c>
      <c r="H73" s="11" t="str">
        <f>TRIM(MID($A73,H$3,H$4-H$3))</f>
        <v/>
      </c>
      <c r="I73" s="11" t="str">
        <f>TRIM(MID($A73,I$3,I$4-I$3))</f>
        <v/>
      </c>
      <c r="J73" s="11" t="str">
        <f>TRIM(MID($A73,J$3,J$4-J$3))</f>
        <v/>
      </c>
      <c r="K73" s="11" t="str">
        <f>TRIM(MID($A73,K$3,K$4-K$3))</f>
        <v/>
      </c>
      <c r="L73" s="11" t="str">
        <f>TRIM(MID($A73,L$3,L$4-L$3))</f>
        <v/>
      </c>
      <c r="M73" s="6" t="str">
        <f>TRIM(MID($A73,M$3,M$4-M$3))</f>
        <v/>
      </c>
    </row>
    <row r="74" spans="1:13" x14ac:dyDescent="0.4">
      <c r="A74" s="10"/>
      <c r="B74" s="7"/>
      <c r="C74" s="6" t="str">
        <f>TRIM(MID($A74,C$3,C$4-C$3))</f>
        <v/>
      </c>
      <c r="D74" s="6" t="str">
        <f>TRIM(MID($A74,D$3,D$4-D$3))</f>
        <v/>
      </c>
      <c r="E74" s="6" t="str">
        <f>TRIM(MID($A74,E$3,E$4-E$3))</f>
        <v/>
      </c>
      <c r="F74" s="11" t="str">
        <f>TRIM(MID($A74,F$3,F$4-F$3))</f>
        <v/>
      </c>
      <c r="G74" s="11" t="str">
        <f>TRIM(MID($A74,G$3,G$4-G$3))</f>
        <v/>
      </c>
      <c r="H74" s="11" t="str">
        <f>TRIM(MID($A74,H$3,H$4-H$3))</f>
        <v/>
      </c>
      <c r="I74" s="11" t="str">
        <f>TRIM(MID($A74,I$3,I$4-I$3))</f>
        <v/>
      </c>
      <c r="J74" s="11" t="str">
        <f>TRIM(MID($A74,J$3,J$4-J$3))</f>
        <v/>
      </c>
      <c r="K74" s="11" t="str">
        <f>TRIM(MID($A74,K$3,K$4-K$3))</f>
        <v/>
      </c>
      <c r="L74" s="11" t="str">
        <f>TRIM(MID($A74,L$3,L$4-L$3))</f>
        <v/>
      </c>
      <c r="M74" s="6" t="str">
        <f>TRIM(MID($A74,M$3,M$4-M$3))</f>
        <v/>
      </c>
    </row>
    <row r="75" spans="1:13" x14ac:dyDescent="0.4">
      <c r="A75" s="10"/>
      <c r="B75" s="7"/>
      <c r="C75" s="6" t="str">
        <f>TRIM(MID($A75,C$3,C$4-C$3))</f>
        <v/>
      </c>
      <c r="D75" s="6" t="str">
        <f>TRIM(MID($A75,D$3,D$4-D$3))</f>
        <v/>
      </c>
      <c r="E75" s="6" t="str">
        <f>TRIM(MID($A75,E$3,E$4-E$3))</f>
        <v/>
      </c>
      <c r="F75" s="11" t="str">
        <f>TRIM(MID($A75,F$3,F$4-F$3))</f>
        <v/>
      </c>
      <c r="G75" s="11" t="str">
        <f>TRIM(MID($A75,G$3,G$4-G$3))</f>
        <v/>
      </c>
      <c r="H75" s="11" t="str">
        <f>TRIM(MID($A75,H$3,H$4-H$3))</f>
        <v/>
      </c>
      <c r="I75" s="11" t="str">
        <f>TRIM(MID($A75,I$3,I$4-I$3))</f>
        <v/>
      </c>
      <c r="J75" s="11" t="str">
        <f>TRIM(MID($A75,J$3,J$4-J$3))</f>
        <v/>
      </c>
      <c r="K75" s="11" t="str">
        <f>TRIM(MID($A75,K$3,K$4-K$3))</f>
        <v/>
      </c>
      <c r="L75" s="11" t="str">
        <f>TRIM(MID($A75,L$3,L$4-L$3))</f>
        <v/>
      </c>
      <c r="M75" s="6" t="str">
        <f>TRIM(MID($A75,M$3,M$4-M$3))</f>
        <v/>
      </c>
    </row>
    <row r="76" spans="1:13" x14ac:dyDescent="0.4">
      <c r="A76" s="10"/>
      <c r="B76" s="7"/>
      <c r="C76" s="6" t="str">
        <f>TRIM(MID($A76,C$3,C$4-C$3))</f>
        <v/>
      </c>
      <c r="D76" s="6" t="str">
        <f>TRIM(MID($A76,D$3,D$4-D$3))</f>
        <v/>
      </c>
      <c r="E76" s="6" t="str">
        <f>TRIM(MID($A76,E$3,E$4-E$3))</f>
        <v/>
      </c>
      <c r="F76" s="11" t="str">
        <f>TRIM(MID($A76,F$3,F$4-F$3))</f>
        <v/>
      </c>
      <c r="G76" s="11" t="str">
        <f>TRIM(MID($A76,G$3,G$4-G$3))</f>
        <v/>
      </c>
      <c r="H76" s="11" t="str">
        <f>TRIM(MID($A76,H$3,H$4-H$3))</f>
        <v/>
      </c>
      <c r="I76" s="11" t="str">
        <f>TRIM(MID($A76,I$3,I$4-I$3))</f>
        <v/>
      </c>
      <c r="J76" s="11" t="str">
        <f>TRIM(MID($A76,J$3,J$4-J$3))</f>
        <v/>
      </c>
      <c r="K76" s="11" t="str">
        <f>TRIM(MID($A76,K$3,K$4-K$3))</f>
        <v/>
      </c>
      <c r="L76" s="11" t="str">
        <f>TRIM(MID($A76,L$3,L$4-L$3))</f>
        <v/>
      </c>
      <c r="M76" s="6" t="str">
        <f>TRIM(MID($A76,M$3,M$4-M$3))</f>
        <v/>
      </c>
    </row>
    <row r="77" spans="1:13" x14ac:dyDescent="0.4">
      <c r="A77" s="10"/>
      <c r="B77" s="7"/>
      <c r="C77" s="6" t="str">
        <f>TRIM(MID($A77,C$3,C$4-C$3))</f>
        <v/>
      </c>
      <c r="D77" s="6" t="str">
        <f>TRIM(MID($A77,D$3,D$4-D$3))</f>
        <v/>
      </c>
      <c r="E77" s="6" t="str">
        <f>TRIM(MID($A77,E$3,E$4-E$3))</f>
        <v/>
      </c>
      <c r="F77" s="11" t="str">
        <f>TRIM(MID($A77,F$3,F$4-F$3))</f>
        <v/>
      </c>
      <c r="G77" s="11" t="str">
        <f>TRIM(MID($A77,G$3,G$4-G$3))</f>
        <v/>
      </c>
      <c r="H77" s="11" t="str">
        <f>TRIM(MID($A77,H$3,H$4-H$3))</f>
        <v/>
      </c>
      <c r="I77" s="11" t="str">
        <f>TRIM(MID($A77,I$3,I$4-I$3))</f>
        <v/>
      </c>
      <c r="J77" s="11" t="str">
        <f>TRIM(MID($A77,J$3,J$4-J$3))</f>
        <v/>
      </c>
      <c r="K77" s="11" t="str">
        <f>TRIM(MID($A77,K$3,K$4-K$3))</f>
        <v/>
      </c>
      <c r="L77" s="11" t="str">
        <f>TRIM(MID($A77,L$3,L$4-L$3))</f>
        <v/>
      </c>
      <c r="M77" s="6" t="str">
        <f>TRIM(MID($A77,M$3,M$4-M$3))</f>
        <v/>
      </c>
    </row>
    <row r="78" spans="1:13" x14ac:dyDescent="0.4">
      <c r="A78" s="10"/>
      <c r="B78" s="7"/>
      <c r="C78" s="6" t="str">
        <f>TRIM(MID($A78,C$3,C$4-C$3))</f>
        <v/>
      </c>
      <c r="D78" s="6" t="str">
        <f>TRIM(MID($A78,D$3,D$4-D$3))</f>
        <v/>
      </c>
      <c r="E78" s="6" t="str">
        <f>TRIM(MID($A78,E$3,E$4-E$3))</f>
        <v/>
      </c>
      <c r="F78" s="11" t="str">
        <f>TRIM(MID($A78,F$3,F$4-F$3))</f>
        <v/>
      </c>
      <c r="G78" s="11" t="str">
        <f>TRIM(MID($A78,G$3,G$4-G$3))</f>
        <v/>
      </c>
      <c r="H78" s="11" t="str">
        <f>TRIM(MID($A78,H$3,H$4-H$3))</f>
        <v/>
      </c>
      <c r="I78" s="11" t="str">
        <f>TRIM(MID($A78,I$3,I$4-I$3))</f>
        <v/>
      </c>
      <c r="J78" s="11" t="str">
        <f>TRIM(MID($A78,J$3,J$4-J$3))</f>
        <v/>
      </c>
      <c r="K78" s="11" t="str">
        <f>TRIM(MID($A78,K$3,K$4-K$3))</f>
        <v/>
      </c>
      <c r="L78" s="11" t="str">
        <f>TRIM(MID($A78,L$3,L$4-L$3))</f>
        <v/>
      </c>
      <c r="M78" s="6" t="str">
        <f>TRIM(MID($A78,M$3,M$4-M$3))</f>
        <v/>
      </c>
    </row>
    <row r="79" spans="1:13" x14ac:dyDescent="0.4">
      <c r="A79" s="10"/>
      <c r="B79" s="7"/>
      <c r="C79" s="6" t="str">
        <f>TRIM(MID($A79,C$3,C$4-C$3))</f>
        <v/>
      </c>
      <c r="D79" s="6" t="str">
        <f>TRIM(MID($A79,D$3,D$4-D$3))</f>
        <v/>
      </c>
      <c r="E79" s="6" t="str">
        <f>TRIM(MID($A79,E$3,E$4-E$3))</f>
        <v/>
      </c>
      <c r="F79" s="11" t="str">
        <f>TRIM(MID($A79,F$3,F$4-F$3))</f>
        <v/>
      </c>
      <c r="G79" s="11" t="str">
        <f>TRIM(MID($A79,G$3,G$4-G$3))</f>
        <v/>
      </c>
      <c r="H79" s="11" t="str">
        <f>TRIM(MID($A79,H$3,H$4-H$3))</f>
        <v/>
      </c>
      <c r="I79" s="11" t="str">
        <f>TRIM(MID($A79,I$3,I$4-I$3))</f>
        <v/>
      </c>
      <c r="J79" s="11" t="str">
        <f>TRIM(MID($A79,J$3,J$4-J$3))</f>
        <v/>
      </c>
      <c r="K79" s="11" t="str">
        <f>TRIM(MID($A79,K$3,K$4-K$3))</f>
        <v/>
      </c>
      <c r="L79" s="11" t="str">
        <f>TRIM(MID($A79,L$3,L$4-L$3))</f>
        <v/>
      </c>
      <c r="M79" s="6" t="str">
        <f>TRIM(MID($A79,M$3,M$4-M$3))</f>
        <v/>
      </c>
    </row>
    <row r="80" spans="1:13" x14ac:dyDescent="0.4">
      <c r="A80" s="10"/>
      <c r="B80" s="7"/>
      <c r="C80" s="6" t="str">
        <f>TRIM(MID($A80,C$3,C$4-C$3))</f>
        <v/>
      </c>
      <c r="D80" s="6" t="str">
        <f>TRIM(MID($A80,D$3,D$4-D$3))</f>
        <v/>
      </c>
      <c r="E80" s="6" t="str">
        <f>TRIM(MID($A80,E$3,E$4-E$3))</f>
        <v/>
      </c>
      <c r="F80" s="11" t="str">
        <f>TRIM(MID($A80,F$3,F$4-F$3))</f>
        <v/>
      </c>
      <c r="G80" s="11" t="str">
        <f>TRIM(MID($A80,G$3,G$4-G$3))</f>
        <v/>
      </c>
      <c r="H80" s="11" t="str">
        <f>TRIM(MID($A80,H$3,H$4-H$3))</f>
        <v/>
      </c>
      <c r="I80" s="11" t="str">
        <f>TRIM(MID($A80,I$3,I$4-I$3))</f>
        <v/>
      </c>
      <c r="J80" s="11" t="str">
        <f>TRIM(MID($A80,J$3,J$4-J$3))</f>
        <v/>
      </c>
      <c r="K80" s="11" t="str">
        <f>TRIM(MID($A80,K$3,K$4-K$3))</f>
        <v/>
      </c>
      <c r="L80" s="11" t="str">
        <f>TRIM(MID($A80,L$3,L$4-L$3))</f>
        <v/>
      </c>
      <c r="M80" s="6" t="str">
        <f>TRIM(MID($A80,M$3,M$4-M$3))</f>
        <v/>
      </c>
    </row>
    <row r="81" spans="1:13" x14ac:dyDescent="0.4">
      <c r="A81" s="10"/>
      <c r="B81" s="7"/>
      <c r="C81" s="6" t="str">
        <f>TRIM(MID($A81,C$3,C$4-C$3))</f>
        <v/>
      </c>
      <c r="D81" s="6" t="str">
        <f>TRIM(MID($A81,D$3,D$4-D$3))</f>
        <v/>
      </c>
      <c r="E81" s="6" t="str">
        <f>TRIM(MID($A81,E$3,E$4-E$3))</f>
        <v/>
      </c>
      <c r="F81" s="11" t="str">
        <f>TRIM(MID($A81,F$3,F$4-F$3))</f>
        <v/>
      </c>
      <c r="G81" s="11" t="str">
        <f>TRIM(MID($A81,G$3,G$4-G$3))</f>
        <v/>
      </c>
      <c r="H81" s="11" t="str">
        <f>TRIM(MID($A81,H$3,H$4-H$3))</f>
        <v/>
      </c>
      <c r="I81" s="11" t="str">
        <f>TRIM(MID($A81,I$3,I$4-I$3))</f>
        <v/>
      </c>
      <c r="J81" s="11" t="str">
        <f>TRIM(MID($A81,J$3,J$4-J$3))</f>
        <v/>
      </c>
      <c r="K81" s="11" t="str">
        <f>TRIM(MID($A81,K$3,K$4-K$3))</f>
        <v/>
      </c>
      <c r="L81" s="11" t="str">
        <f>TRIM(MID($A81,L$3,L$4-L$3))</f>
        <v/>
      </c>
      <c r="M81" s="6" t="str">
        <f>TRIM(MID($A81,M$3,M$4-M$3))</f>
        <v/>
      </c>
    </row>
    <row r="82" spans="1:13" x14ac:dyDescent="0.4">
      <c r="A82" s="10"/>
      <c r="B82" s="7"/>
      <c r="C82" s="6" t="str">
        <f>TRIM(MID($A82,C$3,C$4-C$3))</f>
        <v/>
      </c>
      <c r="D82" s="6" t="str">
        <f>TRIM(MID($A82,D$3,D$4-D$3))</f>
        <v/>
      </c>
      <c r="E82" s="6" t="str">
        <f>TRIM(MID($A82,E$3,E$4-E$3))</f>
        <v/>
      </c>
      <c r="F82" s="11" t="str">
        <f>TRIM(MID($A82,F$3,F$4-F$3))</f>
        <v/>
      </c>
      <c r="G82" s="11" t="str">
        <f>TRIM(MID($A82,G$3,G$4-G$3))</f>
        <v/>
      </c>
      <c r="H82" s="11" t="str">
        <f>TRIM(MID($A82,H$3,H$4-H$3))</f>
        <v/>
      </c>
      <c r="I82" s="11" t="str">
        <f>TRIM(MID($A82,I$3,I$4-I$3))</f>
        <v/>
      </c>
      <c r="J82" s="11" t="str">
        <f>TRIM(MID($A82,J$3,J$4-J$3))</f>
        <v/>
      </c>
      <c r="K82" s="11" t="str">
        <f>TRIM(MID($A82,K$3,K$4-K$3))</f>
        <v/>
      </c>
      <c r="L82" s="11" t="str">
        <f>TRIM(MID($A82,L$3,L$4-L$3))</f>
        <v/>
      </c>
      <c r="M82" s="6" t="str">
        <f>TRIM(MID($A82,M$3,M$4-M$3))</f>
        <v/>
      </c>
    </row>
    <row r="83" spans="1:13" x14ac:dyDescent="0.4">
      <c r="A83" s="10"/>
      <c r="B83" s="7"/>
      <c r="C83" s="6" t="str">
        <f>TRIM(MID($A83,C$3,C$4-C$3))</f>
        <v/>
      </c>
      <c r="D83" s="6" t="str">
        <f>TRIM(MID($A83,D$3,D$4-D$3))</f>
        <v/>
      </c>
      <c r="E83" s="6" t="str">
        <f>TRIM(MID($A83,E$3,E$4-E$3))</f>
        <v/>
      </c>
      <c r="F83" s="11" t="str">
        <f>TRIM(MID($A83,F$3,F$4-F$3))</f>
        <v/>
      </c>
      <c r="G83" s="11" t="str">
        <f>TRIM(MID($A83,G$3,G$4-G$3))</f>
        <v/>
      </c>
      <c r="H83" s="11" t="str">
        <f>TRIM(MID($A83,H$3,H$4-H$3))</f>
        <v/>
      </c>
      <c r="I83" s="11" t="str">
        <f>TRIM(MID($A83,I$3,I$4-I$3))</f>
        <v/>
      </c>
      <c r="J83" s="11" t="str">
        <f>TRIM(MID($A83,J$3,J$4-J$3))</f>
        <v/>
      </c>
      <c r="K83" s="11" t="str">
        <f>TRIM(MID($A83,K$3,K$4-K$3))</f>
        <v/>
      </c>
      <c r="L83" s="11" t="str">
        <f>TRIM(MID($A83,L$3,L$4-L$3))</f>
        <v/>
      </c>
      <c r="M83" s="6" t="str">
        <f>TRIM(MID($A83,M$3,M$4-M$3))</f>
        <v/>
      </c>
    </row>
    <row r="84" spans="1:13" x14ac:dyDescent="0.4">
      <c r="A84" s="10"/>
      <c r="B84" s="7"/>
      <c r="C84" s="6" t="str">
        <f>TRIM(MID($A84,C$3,C$4-C$3))</f>
        <v/>
      </c>
      <c r="D84" s="6" t="str">
        <f>TRIM(MID($A84,D$3,D$4-D$3))</f>
        <v/>
      </c>
      <c r="E84" s="6" t="str">
        <f>TRIM(MID($A84,E$3,E$4-E$3))</f>
        <v/>
      </c>
      <c r="F84" s="11" t="str">
        <f>TRIM(MID($A84,F$3,F$4-F$3))</f>
        <v/>
      </c>
      <c r="G84" s="11" t="str">
        <f>TRIM(MID($A84,G$3,G$4-G$3))</f>
        <v/>
      </c>
      <c r="H84" s="11" t="str">
        <f>TRIM(MID($A84,H$3,H$4-H$3))</f>
        <v/>
      </c>
      <c r="I84" s="11" t="str">
        <f>TRIM(MID($A84,I$3,I$4-I$3))</f>
        <v/>
      </c>
      <c r="J84" s="11" t="str">
        <f>TRIM(MID($A84,J$3,J$4-J$3))</f>
        <v/>
      </c>
      <c r="K84" s="11" t="str">
        <f>TRIM(MID($A84,K$3,K$4-K$3))</f>
        <v/>
      </c>
      <c r="L84" s="11" t="str">
        <f>TRIM(MID($A84,L$3,L$4-L$3))</f>
        <v/>
      </c>
      <c r="M84" s="6" t="str">
        <f>TRIM(MID($A84,M$3,M$4-M$3))</f>
        <v/>
      </c>
    </row>
    <row r="85" spans="1:13" x14ac:dyDescent="0.4">
      <c r="A85" s="10"/>
      <c r="B85" s="7"/>
      <c r="C85" s="6" t="str">
        <f>TRIM(MID($A85,C$3,C$4-C$3))</f>
        <v/>
      </c>
      <c r="D85" s="6" t="str">
        <f>TRIM(MID($A85,D$3,D$4-D$3))</f>
        <v/>
      </c>
      <c r="E85" s="6" t="str">
        <f>TRIM(MID($A85,E$3,E$4-E$3))</f>
        <v/>
      </c>
      <c r="F85" s="11" t="str">
        <f>TRIM(MID($A85,F$3,F$4-F$3))</f>
        <v/>
      </c>
      <c r="G85" s="11" t="str">
        <f>TRIM(MID($A85,G$3,G$4-G$3))</f>
        <v/>
      </c>
      <c r="H85" s="11" t="str">
        <f>TRIM(MID($A85,H$3,H$4-H$3))</f>
        <v/>
      </c>
      <c r="I85" s="11" t="str">
        <f>TRIM(MID($A85,I$3,I$4-I$3))</f>
        <v/>
      </c>
      <c r="J85" s="11" t="str">
        <f>TRIM(MID($A85,J$3,J$4-J$3))</f>
        <v/>
      </c>
      <c r="K85" s="11" t="str">
        <f>TRIM(MID($A85,K$3,K$4-K$3))</f>
        <v/>
      </c>
      <c r="L85" s="11" t="str">
        <f>TRIM(MID($A85,L$3,L$4-L$3))</f>
        <v/>
      </c>
      <c r="M85" s="6" t="str">
        <f>TRIM(MID($A85,M$3,M$4-M$3))</f>
        <v/>
      </c>
    </row>
    <row r="86" spans="1:13" x14ac:dyDescent="0.4">
      <c r="A86" s="10"/>
      <c r="B86" s="7"/>
      <c r="C86" s="6" t="str">
        <f>TRIM(MID($A86,C$3,C$4-C$3))</f>
        <v/>
      </c>
      <c r="D86" s="6" t="str">
        <f>TRIM(MID($A86,D$3,D$4-D$3))</f>
        <v/>
      </c>
      <c r="E86" s="6" t="str">
        <f>TRIM(MID($A86,E$3,E$4-E$3))</f>
        <v/>
      </c>
      <c r="F86" s="11" t="str">
        <f>TRIM(MID($A86,F$3,F$4-F$3))</f>
        <v/>
      </c>
      <c r="G86" s="11" t="str">
        <f>TRIM(MID($A86,G$3,G$4-G$3))</f>
        <v/>
      </c>
      <c r="H86" s="11" t="str">
        <f>TRIM(MID($A86,H$3,H$4-H$3))</f>
        <v/>
      </c>
      <c r="I86" s="11" t="str">
        <f>TRIM(MID($A86,I$3,I$4-I$3))</f>
        <v/>
      </c>
      <c r="J86" s="11" t="str">
        <f>TRIM(MID($A86,J$3,J$4-J$3))</f>
        <v/>
      </c>
      <c r="K86" s="11" t="str">
        <f>TRIM(MID($A86,K$3,K$4-K$3))</f>
        <v/>
      </c>
      <c r="L86" s="11" t="str">
        <f>TRIM(MID($A86,L$3,L$4-L$3))</f>
        <v/>
      </c>
      <c r="M86" s="6" t="str">
        <f>TRIM(MID($A86,M$3,M$4-M$3))</f>
        <v/>
      </c>
    </row>
    <row r="87" spans="1:13" x14ac:dyDescent="0.4">
      <c r="A87" s="10"/>
      <c r="B87" s="7"/>
      <c r="C87" s="6" t="str">
        <f>TRIM(MID($A87,C$3,C$4-C$3))</f>
        <v/>
      </c>
      <c r="D87" s="6" t="str">
        <f>TRIM(MID($A87,D$3,D$4-D$3))</f>
        <v/>
      </c>
      <c r="E87" s="6" t="str">
        <f>TRIM(MID($A87,E$3,E$4-E$3))</f>
        <v/>
      </c>
      <c r="F87" s="11" t="str">
        <f>TRIM(MID($A87,F$3,F$4-F$3))</f>
        <v/>
      </c>
      <c r="G87" s="11" t="str">
        <f>TRIM(MID($A87,G$3,G$4-G$3))</f>
        <v/>
      </c>
      <c r="H87" s="11" t="str">
        <f>TRIM(MID($A87,H$3,H$4-H$3))</f>
        <v/>
      </c>
      <c r="I87" s="11" t="str">
        <f>TRIM(MID($A87,I$3,I$4-I$3))</f>
        <v/>
      </c>
      <c r="J87" s="11" t="str">
        <f>TRIM(MID($A87,J$3,J$4-J$3))</f>
        <v/>
      </c>
      <c r="K87" s="11" t="str">
        <f>TRIM(MID($A87,K$3,K$4-K$3))</f>
        <v/>
      </c>
      <c r="L87" s="11" t="str">
        <f>TRIM(MID($A87,L$3,L$4-L$3))</f>
        <v/>
      </c>
      <c r="M87" s="6" t="str">
        <f>TRIM(MID($A87,M$3,M$4-M$3))</f>
        <v/>
      </c>
    </row>
    <row r="88" spans="1:13" x14ac:dyDescent="0.4">
      <c r="A88" s="10"/>
      <c r="B88" s="7"/>
      <c r="C88" s="6" t="str">
        <f>TRIM(MID($A88,C$3,C$4-C$3))</f>
        <v/>
      </c>
      <c r="D88" s="6" t="str">
        <f>TRIM(MID($A88,D$3,D$4-D$3))</f>
        <v/>
      </c>
      <c r="E88" s="6" t="str">
        <f>TRIM(MID($A88,E$3,E$4-E$3))</f>
        <v/>
      </c>
      <c r="F88" s="11" t="str">
        <f>TRIM(MID($A88,F$3,F$4-F$3))</f>
        <v/>
      </c>
      <c r="G88" s="11" t="str">
        <f>TRIM(MID($A88,G$3,G$4-G$3))</f>
        <v/>
      </c>
      <c r="H88" s="11" t="str">
        <f>TRIM(MID($A88,H$3,H$4-H$3))</f>
        <v/>
      </c>
      <c r="I88" s="11" t="str">
        <f>TRIM(MID($A88,I$3,I$4-I$3))</f>
        <v/>
      </c>
      <c r="J88" s="11" t="str">
        <f>TRIM(MID($A88,J$3,J$4-J$3))</f>
        <v/>
      </c>
      <c r="K88" s="11" t="str">
        <f>TRIM(MID($A88,K$3,K$4-K$3))</f>
        <v/>
      </c>
      <c r="L88" s="11" t="str">
        <f>TRIM(MID($A88,L$3,L$4-L$3))</f>
        <v/>
      </c>
      <c r="M88" s="6" t="str">
        <f>TRIM(MID($A88,M$3,M$4-M$3))</f>
        <v/>
      </c>
    </row>
    <row r="89" spans="1:13" x14ac:dyDescent="0.4">
      <c r="A89" s="10"/>
      <c r="B89" s="7"/>
      <c r="C89" s="6" t="str">
        <f>TRIM(MID($A89,C$3,C$4-C$3))</f>
        <v/>
      </c>
      <c r="D89" s="6" t="str">
        <f>TRIM(MID($A89,D$3,D$4-D$3))</f>
        <v/>
      </c>
      <c r="E89" s="6" t="str">
        <f>TRIM(MID($A89,E$3,E$4-E$3))</f>
        <v/>
      </c>
      <c r="F89" s="11" t="str">
        <f>TRIM(MID($A89,F$3,F$4-F$3))</f>
        <v/>
      </c>
      <c r="G89" s="11" t="str">
        <f>TRIM(MID($A89,G$3,G$4-G$3))</f>
        <v/>
      </c>
      <c r="H89" s="11" t="str">
        <f>TRIM(MID($A89,H$3,H$4-H$3))</f>
        <v/>
      </c>
      <c r="I89" s="11" t="str">
        <f>TRIM(MID($A89,I$3,I$4-I$3))</f>
        <v/>
      </c>
      <c r="J89" s="11" t="str">
        <f>TRIM(MID($A89,J$3,J$4-J$3))</f>
        <v/>
      </c>
      <c r="K89" s="11" t="str">
        <f>TRIM(MID($A89,K$3,K$4-K$3))</f>
        <v/>
      </c>
      <c r="L89" s="11" t="str">
        <f>TRIM(MID($A89,L$3,L$4-L$3))</f>
        <v/>
      </c>
      <c r="M89" s="6" t="str">
        <f>TRIM(MID($A89,M$3,M$4-M$3))</f>
        <v/>
      </c>
    </row>
    <row r="90" spans="1:13" x14ac:dyDescent="0.4">
      <c r="A90" s="10"/>
      <c r="B90" s="7"/>
      <c r="C90" s="6" t="str">
        <f>TRIM(MID($A90,C$3,C$4-C$3))</f>
        <v/>
      </c>
      <c r="D90" s="6" t="str">
        <f>TRIM(MID($A90,D$3,D$4-D$3))</f>
        <v/>
      </c>
      <c r="E90" s="6" t="str">
        <f>TRIM(MID($A90,E$3,E$4-E$3))</f>
        <v/>
      </c>
      <c r="F90" s="11" t="str">
        <f>TRIM(MID($A90,F$3,F$4-F$3))</f>
        <v/>
      </c>
      <c r="G90" s="11" t="str">
        <f>TRIM(MID($A90,G$3,G$4-G$3))</f>
        <v/>
      </c>
      <c r="H90" s="11" t="str">
        <f>TRIM(MID($A90,H$3,H$4-H$3))</f>
        <v/>
      </c>
      <c r="I90" s="11" t="str">
        <f>TRIM(MID($A90,I$3,I$4-I$3))</f>
        <v/>
      </c>
      <c r="J90" s="11" t="str">
        <f>TRIM(MID($A90,J$3,J$4-J$3))</f>
        <v/>
      </c>
      <c r="K90" s="11" t="str">
        <f>TRIM(MID($A90,K$3,K$4-K$3))</f>
        <v/>
      </c>
      <c r="L90" s="11" t="str">
        <f>TRIM(MID($A90,L$3,L$4-L$3))</f>
        <v/>
      </c>
      <c r="M90" s="6" t="str">
        <f>TRIM(MID($A90,M$3,M$4-M$3))</f>
        <v/>
      </c>
    </row>
    <row r="91" spans="1:13" x14ac:dyDescent="0.4">
      <c r="A91" s="10"/>
      <c r="B91" s="7"/>
      <c r="C91" s="6" t="str">
        <f>TRIM(MID($A91,C$3,C$4-C$3))</f>
        <v/>
      </c>
      <c r="D91" s="6" t="str">
        <f>TRIM(MID($A91,D$3,D$4-D$3))</f>
        <v/>
      </c>
      <c r="E91" s="6" t="str">
        <f>TRIM(MID($A91,E$3,E$4-E$3))</f>
        <v/>
      </c>
      <c r="F91" s="11" t="str">
        <f>TRIM(MID($A91,F$3,F$4-F$3))</f>
        <v/>
      </c>
      <c r="G91" s="11" t="str">
        <f>TRIM(MID($A91,G$3,G$4-G$3))</f>
        <v/>
      </c>
      <c r="H91" s="11" t="str">
        <f>TRIM(MID($A91,H$3,H$4-H$3))</f>
        <v/>
      </c>
      <c r="I91" s="11" t="str">
        <f>TRIM(MID($A91,I$3,I$4-I$3))</f>
        <v/>
      </c>
      <c r="J91" s="11" t="str">
        <f>TRIM(MID($A91,J$3,J$4-J$3))</f>
        <v/>
      </c>
      <c r="K91" s="11" t="str">
        <f>TRIM(MID($A91,K$3,K$4-K$3))</f>
        <v/>
      </c>
      <c r="L91" s="11" t="str">
        <f>TRIM(MID($A91,L$3,L$4-L$3))</f>
        <v/>
      </c>
      <c r="M91" s="6" t="str">
        <f>TRIM(MID($A91,M$3,M$4-M$3))</f>
        <v/>
      </c>
    </row>
    <row r="92" spans="1:13" x14ac:dyDescent="0.4">
      <c r="A92" s="10"/>
      <c r="B92" s="7"/>
      <c r="C92" s="6" t="str">
        <f>TRIM(MID($A92,C$3,C$4-C$3))</f>
        <v/>
      </c>
      <c r="D92" s="6" t="str">
        <f>TRIM(MID($A92,D$3,D$4-D$3))</f>
        <v/>
      </c>
      <c r="E92" s="6" t="str">
        <f>TRIM(MID($A92,E$3,E$4-E$3))</f>
        <v/>
      </c>
      <c r="F92" s="11" t="str">
        <f>TRIM(MID($A92,F$3,F$4-F$3))</f>
        <v/>
      </c>
      <c r="G92" s="11" t="str">
        <f>TRIM(MID($A92,G$3,G$4-G$3))</f>
        <v/>
      </c>
      <c r="H92" s="11" t="str">
        <f>TRIM(MID($A92,H$3,H$4-H$3))</f>
        <v/>
      </c>
      <c r="I92" s="11" t="str">
        <f>TRIM(MID($A92,I$3,I$4-I$3))</f>
        <v/>
      </c>
      <c r="J92" s="11" t="str">
        <f>TRIM(MID($A92,J$3,J$4-J$3))</f>
        <v/>
      </c>
      <c r="K92" s="11" t="str">
        <f>TRIM(MID($A92,K$3,K$4-K$3))</f>
        <v/>
      </c>
      <c r="L92" s="11" t="str">
        <f>TRIM(MID($A92,L$3,L$4-L$3))</f>
        <v/>
      </c>
      <c r="M92" s="6" t="str">
        <f>TRIM(MID($A92,M$3,M$4-M$3))</f>
        <v/>
      </c>
    </row>
    <row r="93" spans="1:13" x14ac:dyDescent="0.4">
      <c r="A93" s="10"/>
      <c r="B93" s="7"/>
      <c r="C93" s="6" t="str">
        <f>TRIM(MID($A93,C$3,C$4-C$3))</f>
        <v/>
      </c>
      <c r="D93" s="6" t="str">
        <f>TRIM(MID($A93,D$3,D$4-D$3))</f>
        <v/>
      </c>
      <c r="E93" s="6" t="str">
        <f>TRIM(MID($A93,E$3,E$4-E$3))</f>
        <v/>
      </c>
      <c r="F93" s="11" t="str">
        <f>TRIM(MID($A93,F$3,F$4-F$3))</f>
        <v/>
      </c>
      <c r="G93" s="11" t="str">
        <f>TRIM(MID($A93,G$3,G$4-G$3))</f>
        <v/>
      </c>
      <c r="H93" s="11" t="str">
        <f>TRIM(MID($A93,H$3,H$4-H$3))</f>
        <v/>
      </c>
      <c r="I93" s="11" t="str">
        <f>TRIM(MID($A93,I$3,I$4-I$3))</f>
        <v/>
      </c>
      <c r="J93" s="11" t="str">
        <f>TRIM(MID($A93,J$3,J$4-J$3))</f>
        <v/>
      </c>
      <c r="K93" s="11" t="str">
        <f>TRIM(MID($A93,K$3,K$4-K$3))</f>
        <v/>
      </c>
      <c r="L93" s="11" t="str">
        <f>TRIM(MID($A93,L$3,L$4-L$3))</f>
        <v/>
      </c>
      <c r="M93" s="6" t="str">
        <f>TRIM(MID($A93,M$3,M$4-M$3))</f>
        <v/>
      </c>
    </row>
    <row r="94" spans="1:13" x14ac:dyDescent="0.4">
      <c r="A94" s="10"/>
      <c r="B94" s="7"/>
      <c r="C94" s="6" t="str">
        <f>TRIM(MID($A94,C$3,C$4-C$3))</f>
        <v/>
      </c>
      <c r="D94" s="6" t="str">
        <f>TRIM(MID($A94,D$3,D$4-D$3))</f>
        <v/>
      </c>
      <c r="E94" s="6" t="str">
        <f>TRIM(MID($A94,E$3,E$4-E$3))</f>
        <v/>
      </c>
      <c r="F94" s="11" t="str">
        <f>TRIM(MID($A94,F$3,F$4-F$3))</f>
        <v/>
      </c>
      <c r="G94" s="11" t="str">
        <f>TRIM(MID($A94,G$3,G$4-G$3))</f>
        <v/>
      </c>
      <c r="H94" s="11" t="str">
        <f>TRIM(MID($A94,H$3,H$4-H$3))</f>
        <v/>
      </c>
      <c r="I94" s="11" t="str">
        <f>TRIM(MID($A94,I$3,I$4-I$3))</f>
        <v/>
      </c>
      <c r="J94" s="11" t="str">
        <f>TRIM(MID($A94,J$3,J$4-J$3))</f>
        <v/>
      </c>
      <c r="K94" s="11" t="str">
        <f>TRIM(MID($A94,K$3,K$4-K$3))</f>
        <v/>
      </c>
      <c r="L94" s="11" t="str">
        <f>TRIM(MID($A94,L$3,L$4-L$3))</f>
        <v/>
      </c>
      <c r="M94" s="6" t="str">
        <f>TRIM(MID($A94,M$3,M$4-M$3))</f>
        <v/>
      </c>
    </row>
    <row r="95" spans="1:13" x14ac:dyDescent="0.4">
      <c r="A95" s="10"/>
      <c r="B95" s="7"/>
      <c r="C95" s="6" t="str">
        <f>TRIM(MID($A95,C$3,C$4-C$3))</f>
        <v/>
      </c>
      <c r="D95" s="6" t="str">
        <f>TRIM(MID($A95,D$3,D$4-D$3))</f>
        <v/>
      </c>
      <c r="E95" s="6" t="str">
        <f>TRIM(MID($A95,E$3,E$4-E$3))</f>
        <v/>
      </c>
      <c r="F95" s="11" t="str">
        <f>TRIM(MID($A95,F$3,F$4-F$3))</f>
        <v/>
      </c>
      <c r="G95" s="11" t="str">
        <f>TRIM(MID($A95,G$3,G$4-G$3))</f>
        <v/>
      </c>
      <c r="H95" s="11" t="str">
        <f>TRIM(MID($A95,H$3,H$4-H$3))</f>
        <v/>
      </c>
      <c r="I95" s="11" t="str">
        <f>TRIM(MID($A95,I$3,I$4-I$3))</f>
        <v/>
      </c>
      <c r="J95" s="11" t="str">
        <f>TRIM(MID($A95,J$3,J$4-J$3))</f>
        <v/>
      </c>
      <c r="K95" s="11" t="str">
        <f>TRIM(MID($A95,K$3,K$4-K$3))</f>
        <v/>
      </c>
      <c r="L95" s="11" t="str">
        <f>TRIM(MID($A95,L$3,L$4-L$3))</f>
        <v/>
      </c>
      <c r="M95" s="6" t="str">
        <f>TRIM(MID($A95,M$3,M$4-M$3))</f>
        <v/>
      </c>
    </row>
    <row r="96" spans="1:13" x14ac:dyDescent="0.4">
      <c r="A96" s="10"/>
      <c r="B96" s="7"/>
      <c r="C96" s="6" t="str">
        <f>TRIM(MID($A96,C$3,C$4-C$3))</f>
        <v/>
      </c>
      <c r="D96" s="6" t="str">
        <f>TRIM(MID($A96,D$3,D$4-D$3))</f>
        <v/>
      </c>
      <c r="E96" s="6" t="str">
        <f>TRIM(MID($A96,E$3,E$4-E$3))</f>
        <v/>
      </c>
      <c r="F96" s="11" t="str">
        <f>TRIM(MID($A96,F$3,F$4-F$3))</f>
        <v/>
      </c>
      <c r="G96" s="11" t="str">
        <f>TRIM(MID($A96,G$3,G$4-G$3))</f>
        <v/>
      </c>
      <c r="H96" s="11" t="str">
        <f>TRIM(MID($A96,H$3,H$4-H$3))</f>
        <v/>
      </c>
      <c r="I96" s="11" t="str">
        <f>TRIM(MID($A96,I$3,I$4-I$3))</f>
        <v/>
      </c>
      <c r="J96" s="11" t="str">
        <f>TRIM(MID($A96,J$3,J$4-J$3))</f>
        <v/>
      </c>
      <c r="K96" s="11" t="str">
        <f>TRIM(MID($A96,K$3,K$4-K$3))</f>
        <v/>
      </c>
      <c r="L96" s="11" t="str">
        <f>TRIM(MID($A96,L$3,L$4-L$3))</f>
        <v/>
      </c>
      <c r="M96" s="6" t="str">
        <f>TRIM(MID($A96,M$3,M$4-M$3))</f>
        <v/>
      </c>
    </row>
    <row r="97" spans="1:13" x14ac:dyDescent="0.4">
      <c r="A97" s="10"/>
      <c r="B97" s="7"/>
      <c r="C97" s="6" t="str">
        <f>TRIM(MID($A97,C$3,C$4-C$3))</f>
        <v/>
      </c>
      <c r="D97" s="6" t="str">
        <f>TRIM(MID($A97,D$3,D$4-D$3))</f>
        <v/>
      </c>
      <c r="E97" s="6" t="str">
        <f>TRIM(MID($A97,E$3,E$4-E$3))</f>
        <v/>
      </c>
      <c r="F97" s="11" t="str">
        <f>TRIM(MID($A97,F$3,F$4-F$3))</f>
        <v/>
      </c>
      <c r="G97" s="11" t="str">
        <f>TRIM(MID($A97,G$3,G$4-G$3))</f>
        <v/>
      </c>
      <c r="H97" s="11" t="str">
        <f>TRIM(MID($A97,H$3,H$4-H$3))</f>
        <v/>
      </c>
      <c r="I97" s="11" t="str">
        <f>TRIM(MID($A97,I$3,I$4-I$3))</f>
        <v/>
      </c>
      <c r="J97" s="11" t="str">
        <f>TRIM(MID($A97,J$3,J$4-J$3))</f>
        <v/>
      </c>
      <c r="K97" s="11" t="str">
        <f>TRIM(MID($A97,K$3,K$4-K$3))</f>
        <v/>
      </c>
      <c r="L97" s="11" t="str">
        <f>TRIM(MID($A97,L$3,L$4-L$3))</f>
        <v/>
      </c>
      <c r="M97" s="6" t="str">
        <f>TRIM(MID($A97,M$3,M$4-M$3))</f>
        <v/>
      </c>
    </row>
    <row r="98" spans="1:13" x14ac:dyDescent="0.4">
      <c r="A98" s="10"/>
      <c r="B98" s="7"/>
      <c r="C98" s="6" t="str">
        <f>TRIM(MID($A98,C$3,C$4-C$3))</f>
        <v/>
      </c>
      <c r="D98" s="6" t="str">
        <f>TRIM(MID($A98,D$3,D$4-D$3))</f>
        <v/>
      </c>
      <c r="E98" s="6" t="str">
        <f>TRIM(MID($A98,E$3,E$4-E$3))</f>
        <v/>
      </c>
      <c r="F98" s="11" t="str">
        <f>TRIM(MID($A98,F$3,F$4-F$3))</f>
        <v/>
      </c>
      <c r="G98" s="11" t="str">
        <f>TRIM(MID($A98,G$3,G$4-G$3))</f>
        <v/>
      </c>
      <c r="H98" s="11" t="str">
        <f>TRIM(MID($A98,H$3,H$4-H$3))</f>
        <v/>
      </c>
      <c r="I98" s="11" t="str">
        <f>TRIM(MID($A98,I$3,I$4-I$3))</f>
        <v/>
      </c>
      <c r="J98" s="11" t="str">
        <f>TRIM(MID($A98,J$3,J$4-J$3))</f>
        <v/>
      </c>
      <c r="K98" s="11" t="str">
        <f>TRIM(MID($A98,K$3,K$4-K$3))</f>
        <v/>
      </c>
      <c r="L98" s="11" t="str">
        <f>TRIM(MID($A98,L$3,L$4-L$3))</f>
        <v/>
      </c>
      <c r="M98" s="6" t="str">
        <f>TRIM(MID($A98,M$3,M$4-M$3))</f>
        <v/>
      </c>
    </row>
    <row r="99" spans="1:13" x14ac:dyDescent="0.4">
      <c r="A99" s="10"/>
      <c r="B99" s="7"/>
      <c r="C99" s="6" t="str">
        <f>TRIM(MID($A99,C$3,C$4-C$3))</f>
        <v/>
      </c>
      <c r="D99" s="6" t="str">
        <f>TRIM(MID($A99,D$3,D$4-D$3))</f>
        <v/>
      </c>
      <c r="E99" s="6" t="str">
        <f>TRIM(MID($A99,E$3,E$4-E$3))</f>
        <v/>
      </c>
      <c r="F99" s="11" t="str">
        <f>TRIM(MID($A99,F$3,F$4-F$3))</f>
        <v/>
      </c>
      <c r="G99" s="11" t="str">
        <f>TRIM(MID($A99,G$3,G$4-G$3))</f>
        <v/>
      </c>
      <c r="H99" s="11" t="str">
        <f>TRIM(MID($A99,H$3,H$4-H$3))</f>
        <v/>
      </c>
      <c r="I99" s="11" t="str">
        <f>TRIM(MID($A99,I$3,I$4-I$3))</f>
        <v/>
      </c>
      <c r="J99" s="11" t="str">
        <f>TRIM(MID($A99,J$3,J$4-J$3))</f>
        <v/>
      </c>
      <c r="K99" s="11" t="str">
        <f>TRIM(MID($A99,K$3,K$4-K$3))</f>
        <v/>
      </c>
      <c r="L99" s="11" t="str">
        <f>TRIM(MID($A99,L$3,L$4-L$3))</f>
        <v/>
      </c>
      <c r="M99" s="6" t="str">
        <f>TRIM(MID($A99,M$3,M$4-M$3))</f>
        <v/>
      </c>
    </row>
    <row r="100" spans="1:13" x14ac:dyDescent="0.4">
      <c r="A100" s="10"/>
      <c r="B100" s="7"/>
      <c r="C100" s="6" t="str">
        <f>TRIM(MID($A100,C$3,C$4-C$3))</f>
        <v/>
      </c>
      <c r="D100" s="6" t="str">
        <f>TRIM(MID($A100,D$3,D$4-D$3))</f>
        <v/>
      </c>
      <c r="E100" s="6" t="str">
        <f>TRIM(MID($A100,E$3,E$4-E$3))</f>
        <v/>
      </c>
      <c r="F100" s="11" t="str">
        <f>TRIM(MID($A100,F$3,F$4-F$3))</f>
        <v/>
      </c>
      <c r="G100" s="11" t="str">
        <f>TRIM(MID($A100,G$3,G$4-G$3))</f>
        <v/>
      </c>
      <c r="H100" s="11" t="str">
        <f>TRIM(MID($A100,H$3,H$4-H$3))</f>
        <v/>
      </c>
      <c r="I100" s="11" t="str">
        <f>TRIM(MID($A100,I$3,I$4-I$3))</f>
        <v/>
      </c>
      <c r="J100" s="11" t="str">
        <f>TRIM(MID($A100,J$3,J$4-J$3))</f>
        <v/>
      </c>
      <c r="K100" s="11" t="str">
        <f>TRIM(MID($A100,K$3,K$4-K$3))</f>
        <v/>
      </c>
      <c r="L100" s="11" t="str">
        <f>TRIM(MID($A100,L$3,L$4-L$3))</f>
        <v/>
      </c>
      <c r="M100" s="6" t="str">
        <f>TRIM(MID($A100,M$3,M$4-M$3))</f>
        <v/>
      </c>
    </row>
    <row r="101" spans="1:13" x14ac:dyDescent="0.4">
      <c r="A101" s="10"/>
      <c r="B101" s="7"/>
      <c r="C101" s="6" t="str">
        <f>TRIM(MID($A101,C$3,C$4-C$3))</f>
        <v/>
      </c>
      <c r="D101" s="6" t="str">
        <f>TRIM(MID($A101,D$3,D$4-D$3))</f>
        <v/>
      </c>
      <c r="E101" s="6" t="str">
        <f>TRIM(MID($A101,E$3,E$4-E$3))</f>
        <v/>
      </c>
      <c r="F101" s="11" t="str">
        <f>TRIM(MID($A101,F$3,F$4-F$3))</f>
        <v/>
      </c>
      <c r="G101" s="11" t="str">
        <f>TRIM(MID($A101,G$3,G$4-G$3))</f>
        <v/>
      </c>
      <c r="H101" s="11" t="str">
        <f>TRIM(MID($A101,H$3,H$4-H$3))</f>
        <v/>
      </c>
      <c r="I101" s="11" t="str">
        <f>TRIM(MID($A101,I$3,I$4-I$3))</f>
        <v/>
      </c>
      <c r="J101" s="11" t="str">
        <f>TRIM(MID($A101,J$3,J$4-J$3))</f>
        <v/>
      </c>
      <c r="K101" s="11" t="str">
        <f>TRIM(MID($A101,K$3,K$4-K$3))</f>
        <v/>
      </c>
      <c r="L101" s="11" t="str">
        <f>TRIM(MID($A101,L$3,L$4-L$3))</f>
        <v/>
      </c>
      <c r="M101" s="6" t="str">
        <f>TRIM(MID($A101,M$3,M$4-M$3))</f>
        <v/>
      </c>
    </row>
    <row r="102" spans="1:13" x14ac:dyDescent="0.4">
      <c r="A102" s="10"/>
      <c r="B102" s="7"/>
      <c r="C102" s="6" t="str">
        <f>TRIM(MID($A102,C$3,C$4-C$3))</f>
        <v/>
      </c>
      <c r="D102" s="6" t="str">
        <f>TRIM(MID($A102,D$3,D$4-D$3))</f>
        <v/>
      </c>
      <c r="E102" s="6" t="str">
        <f>TRIM(MID($A102,E$3,E$4-E$3))</f>
        <v/>
      </c>
      <c r="F102" s="11" t="str">
        <f>TRIM(MID($A102,F$3,F$4-F$3))</f>
        <v/>
      </c>
      <c r="G102" s="11" t="str">
        <f>TRIM(MID($A102,G$3,G$4-G$3))</f>
        <v/>
      </c>
      <c r="H102" s="11" t="str">
        <f>TRIM(MID($A102,H$3,H$4-H$3))</f>
        <v/>
      </c>
      <c r="I102" s="11" t="str">
        <f>TRIM(MID($A102,I$3,I$4-I$3))</f>
        <v/>
      </c>
      <c r="J102" s="11" t="str">
        <f>TRIM(MID($A102,J$3,J$4-J$3))</f>
        <v/>
      </c>
      <c r="K102" s="11" t="str">
        <f>TRIM(MID($A102,K$3,K$4-K$3))</f>
        <v/>
      </c>
      <c r="L102" s="11" t="str">
        <f>TRIM(MID($A102,L$3,L$4-L$3))</f>
        <v/>
      </c>
      <c r="M102" s="6" t="str">
        <f>TRIM(MID($A102,M$3,M$4-M$3))</f>
        <v/>
      </c>
    </row>
    <row r="103" spans="1:13" x14ac:dyDescent="0.4">
      <c r="A103" s="10"/>
      <c r="B103" s="7"/>
      <c r="C103" s="6" t="str">
        <f>TRIM(MID($A103,C$3,C$4-C$3))</f>
        <v/>
      </c>
      <c r="D103" s="6" t="str">
        <f>TRIM(MID($A103,D$3,D$4-D$3))</f>
        <v/>
      </c>
      <c r="E103" s="6" t="str">
        <f>TRIM(MID($A103,E$3,E$4-E$3))</f>
        <v/>
      </c>
      <c r="F103" s="11" t="str">
        <f>TRIM(MID($A103,F$3,F$4-F$3))</f>
        <v/>
      </c>
      <c r="G103" s="11" t="str">
        <f>TRIM(MID($A103,G$3,G$4-G$3))</f>
        <v/>
      </c>
      <c r="H103" s="11" t="str">
        <f>TRIM(MID($A103,H$3,H$4-H$3))</f>
        <v/>
      </c>
      <c r="I103" s="11" t="str">
        <f>TRIM(MID($A103,I$3,I$4-I$3))</f>
        <v/>
      </c>
      <c r="J103" s="11" t="str">
        <f>TRIM(MID($A103,J$3,J$4-J$3))</f>
        <v/>
      </c>
      <c r="K103" s="11" t="str">
        <f>TRIM(MID($A103,K$3,K$4-K$3))</f>
        <v/>
      </c>
      <c r="L103" s="11" t="str">
        <f>TRIM(MID($A103,L$3,L$4-L$3))</f>
        <v/>
      </c>
      <c r="M103" s="6" t="str">
        <f>TRIM(MID($A103,M$3,M$4-M$3))</f>
        <v/>
      </c>
    </row>
    <row r="104" spans="1:13" x14ac:dyDescent="0.4">
      <c r="A104" s="10"/>
      <c r="B104" s="7"/>
      <c r="C104" s="6" t="str">
        <f>TRIM(MID($A104,C$3,C$4-C$3))</f>
        <v/>
      </c>
      <c r="D104" s="6" t="str">
        <f>TRIM(MID($A104,D$3,D$4-D$3))</f>
        <v/>
      </c>
      <c r="E104" s="6" t="str">
        <f>TRIM(MID($A104,E$3,E$4-E$3))</f>
        <v/>
      </c>
      <c r="F104" s="11" t="str">
        <f>TRIM(MID($A104,F$3,F$4-F$3))</f>
        <v/>
      </c>
      <c r="G104" s="11" t="str">
        <f>TRIM(MID($A104,G$3,G$4-G$3))</f>
        <v/>
      </c>
      <c r="H104" s="11" t="str">
        <f>TRIM(MID($A104,H$3,H$4-H$3))</f>
        <v/>
      </c>
      <c r="I104" s="11" t="str">
        <f>TRIM(MID($A104,I$3,I$4-I$3))</f>
        <v/>
      </c>
      <c r="J104" s="11" t="str">
        <f>TRIM(MID($A104,J$3,J$4-J$3))</f>
        <v/>
      </c>
      <c r="K104" s="11" t="str">
        <f>TRIM(MID($A104,K$3,K$4-K$3))</f>
        <v/>
      </c>
      <c r="L104" s="11" t="str">
        <f>TRIM(MID($A104,L$3,L$4-L$3))</f>
        <v/>
      </c>
      <c r="M104" s="6" t="str">
        <f>TRIM(MID($A104,M$3,M$4-M$3))</f>
        <v/>
      </c>
    </row>
    <row r="105" spans="1:13" x14ac:dyDescent="0.4">
      <c r="A105" s="10"/>
      <c r="B105" s="7"/>
      <c r="C105" s="6" t="str">
        <f>TRIM(MID($A105,C$3,C$4-C$3))</f>
        <v/>
      </c>
      <c r="D105" s="6" t="str">
        <f>TRIM(MID($A105,D$3,D$4-D$3))</f>
        <v/>
      </c>
      <c r="E105" s="6" t="str">
        <f>TRIM(MID($A105,E$3,E$4-E$3))</f>
        <v/>
      </c>
      <c r="F105" s="11" t="str">
        <f>TRIM(MID($A105,F$3,F$4-F$3))</f>
        <v/>
      </c>
      <c r="G105" s="11" t="str">
        <f>TRIM(MID($A105,G$3,G$4-G$3))</f>
        <v/>
      </c>
      <c r="H105" s="11" t="str">
        <f>TRIM(MID($A105,H$3,H$4-H$3))</f>
        <v/>
      </c>
      <c r="I105" s="11" t="str">
        <f>TRIM(MID($A105,I$3,I$4-I$3))</f>
        <v/>
      </c>
      <c r="J105" s="11" t="str">
        <f>TRIM(MID($A105,J$3,J$4-J$3))</f>
        <v/>
      </c>
      <c r="K105" s="11" t="str">
        <f>TRIM(MID($A105,K$3,K$4-K$3))</f>
        <v/>
      </c>
      <c r="L105" s="11" t="str">
        <f>TRIM(MID($A105,L$3,L$4-L$3))</f>
        <v/>
      </c>
      <c r="M105" s="6" t="str">
        <f>TRIM(MID($A105,M$3,M$4-M$3))</f>
        <v/>
      </c>
    </row>
    <row r="106" spans="1:13" x14ac:dyDescent="0.4">
      <c r="A106" s="10"/>
      <c r="B106" s="7"/>
      <c r="C106" s="6" t="str">
        <f>TRIM(MID($A106,C$3,C$4-C$3))</f>
        <v/>
      </c>
      <c r="D106" s="6" t="str">
        <f>TRIM(MID($A106,D$3,D$4-D$3))</f>
        <v/>
      </c>
      <c r="E106" s="6" t="str">
        <f>TRIM(MID($A106,E$3,E$4-E$3))</f>
        <v/>
      </c>
      <c r="F106" s="11" t="str">
        <f>TRIM(MID($A106,F$3,F$4-F$3))</f>
        <v/>
      </c>
      <c r="G106" s="11" t="str">
        <f>TRIM(MID($A106,G$3,G$4-G$3))</f>
        <v/>
      </c>
      <c r="H106" s="11" t="str">
        <f>TRIM(MID($A106,H$3,H$4-H$3))</f>
        <v/>
      </c>
      <c r="I106" s="11" t="str">
        <f>TRIM(MID($A106,I$3,I$4-I$3))</f>
        <v/>
      </c>
      <c r="J106" s="11" t="str">
        <f>TRIM(MID($A106,J$3,J$4-J$3))</f>
        <v/>
      </c>
      <c r="K106" s="11" t="str">
        <f>TRIM(MID($A106,K$3,K$4-K$3))</f>
        <v/>
      </c>
      <c r="L106" s="11" t="str">
        <f>TRIM(MID($A106,L$3,L$4-L$3))</f>
        <v/>
      </c>
      <c r="M106" s="6" t="str">
        <f>TRIM(MID($A106,M$3,M$4-M$3))</f>
        <v/>
      </c>
    </row>
    <row r="107" spans="1:13" x14ac:dyDescent="0.4">
      <c r="A107" s="10"/>
      <c r="B107" s="7"/>
      <c r="C107" s="6" t="str">
        <f>TRIM(MID($A107,C$3,C$4-C$3))</f>
        <v/>
      </c>
      <c r="D107" s="6" t="str">
        <f>TRIM(MID($A107,D$3,D$4-D$3))</f>
        <v/>
      </c>
      <c r="E107" s="6" t="str">
        <f>TRIM(MID($A107,E$3,E$4-E$3))</f>
        <v/>
      </c>
      <c r="F107" s="11" t="str">
        <f>TRIM(MID($A107,F$3,F$4-F$3))</f>
        <v/>
      </c>
      <c r="G107" s="11" t="str">
        <f>TRIM(MID($A107,G$3,G$4-G$3))</f>
        <v/>
      </c>
      <c r="H107" s="11" t="str">
        <f>TRIM(MID($A107,H$3,H$4-H$3))</f>
        <v/>
      </c>
      <c r="I107" s="11" t="str">
        <f>TRIM(MID($A107,I$3,I$4-I$3))</f>
        <v/>
      </c>
      <c r="J107" s="11" t="str">
        <f>TRIM(MID($A107,J$3,J$4-J$3))</f>
        <v/>
      </c>
      <c r="K107" s="11" t="str">
        <f>TRIM(MID($A107,K$3,K$4-K$3))</f>
        <v/>
      </c>
      <c r="L107" s="11" t="str">
        <f>TRIM(MID($A107,L$3,L$4-L$3))</f>
        <v/>
      </c>
      <c r="M107" s="6" t="str">
        <f>TRIM(MID($A107,M$3,M$4-M$3))</f>
        <v/>
      </c>
    </row>
    <row r="108" spans="1:13" x14ac:dyDescent="0.4">
      <c r="A108" s="10"/>
      <c r="B108" s="7"/>
      <c r="C108" s="6" t="str">
        <f>TRIM(MID($A108,C$3,C$4-C$3))</f>
        <v/>
      </c>
      <c r="D108" s="6" t="str">
        <f>TRIM(MID($A108,D$3,D$4-D$3))</f>
        <v/>
      </c>
      <c r="E108" s="6" t="str">
        <f>TRIM(MID($A108,E$3,E$4-E$3))</f>
        <v/>
      </c>
      <c r="F108" s="11" t="str">
        <f>TRIM(MID($A108,F$3,F$4-F$3))</f>
        <v/>
      </c>
      <c r="G108" s="11" t="str">
        <f>TRIM(MID($A108,G$3,G$4-G$3))</f>
        <v/>
      </c>
      <c r="H108" s="11" t="str">
        <f>TRIM(MID($A108,H$3,H$4-H$3))</f>
        <v/>
      </c>
      <c r="I108" s="11" t="str">
        <f>TRIM(MID($A108,I$3,I$4-I$3))</f>
        <v/>
      </c>
      <c r="J108" s="11" t="str">
        <f>TRIM(MID($A108,J$3,J$4-J$3))</f>
        <v/>
      </c>
      <c r="K108" s="11" t="str">
        <f>TRIM(MID($A108,K$3,K$4-K$3))</f>
        <v/>
      </c>
      <c r="L108" s="11" t="str">
        <f>TRIM(MID($A108,L$3,L$4-L$3))</f>
        <v/>
      </c>
      <c r="M108" s="6" t="str">
        <f>TRIM(MID($A108,M$3,M$4-M$3))</f>
        <v/>
      </c>
    </row>
    <row r="109" spans="1:13" x14ac:dyDescent="0.4">
      <c r="A109" s="10"/>
      <c r="B109" s="7"/>
      <c r="C109" s="6" t="str">
        <f>TRIM(MID($A109,C$3,C$4-C$3))</f>
        <v/>
      </c>
      <c r="D109" s="6" t="str">
        <f>TRIM(MID($A109,D$3,D$4-D$3))</f>
        <v/>
      </c>
      <c r="E109" s="6" t="str">
        <f>TRIM(MID($A109,E$3,E$4-E$3))</f>
        <v/>
      </c>
      <c r="F109" s="11" t="str">
        <f>TRIM(MID($A109,F$3,F$4-F$3))</f>
        <v/>
      </c>
      <c r="G109" s="11" t="str">
        <f>TRIM(MID($A109,G$3,G$4-G$3))</f>
        <v/>
      </c>
      <c r="H109" s="11" t="str">
        <f>TRIM(MID($A109,H$3,H$4-H$3))</f>
        <v/>
      </c>
      <c r="I109" s="11" t="str">
        <f>TRIM(MID($A109,I$3,I$4-I$3))</f>
        <v/>
      </c>
      <c r="J109" s="11" t="str">
        <f>TRIM(MID($A109,J$3,J$4-J$3))</f>
        <v/>
      </c>
      <c r="K109" s="11" t="str">
        <f>TRIM(MID($A109,K$3,K$4-K$3))</f>
        <v/>
      </c>
      <c r="L109" s="11" t="str">
        <f>TRIM(MID($A109,L$3,L$4-L$3))</f>
        <v/>
      </c>
      <c r="M109" s="6" t="str">
        <f>TRIM(MID($A109,M$3,M$4-M$3))</f>
        <v/>
      </c>
    </row>
    <row r="110" spans="1:13" x14ac:dyDescent="0.4">
      <c r="A110" s="10"/>
      <c r="B110" s="7"/>
      <c r="C110" s="6" t="str">
        <f>TRIM(MID($A110,C$3,C$4-C$3))</f>
        <v/>
      </c>
      <c r="D110" s="6" t="str">
        <f>TRIM(MID($A110,D$3,D$4-D$3))</f>
        <v/>
      </c>
      <c r="E110" s="6" t="str">
        <f>TRIM(MID($A110,E$3,E$4-E$3))</f>
        <v/>
      </c>
      <c r="F110" s="11" t="str">
        <f>TRIM(MID($A110,F$3,F$4-F$3))</f>
        <v/>
      </c>
      <c r="G110" s="11" t="str">
        <f>TRIM(MID($A110,G$3,G$4-G$3))</f>
        <v/>
      </c>
      <c r="H110" s="11" t="str">
        <f>TRIM(MID($A110,H$3,H$4-H$3))</f>
        <v/>
      </c>
      <c r="I110" s="11" t="str">
        <f>TRIM(MID($A110,I$3,I$4-I$3))</f>
        <v/>
      </c>
      <c r="J110" s="11" t="str">
        <f>TRIM(MID($A110,J$3,J$4-J$3))</f>
        <v/>
      </c>
      <c r="K110" s="11" t="str">
        <f>TRIM(MID($A110,K$3,K$4-K$3))</f>
        <v/>
      </c>
      <c r="L110" s="11" t="str">
        <f>TRIM(MID($A110,L$3,L$4-L$3))</f>
        <v/>
      </c>
      <c r="M110" s="6" t="str">
        <f>TRIM(MID($A110,M$3,M$4-M$3))</f>
        <v/>
      </c>
    </row>
    <row r="111" spans="1:13" x14ac:dyDescent="0.4">
      <c r="A111" s="10"/>
      <c r="B111" s="7"/>
      <c r="C111" s="6" t="str">
        <f>TRIM(MID($A111,C$3,C$4-C$3))</f>
        <v/>
      </c>
      <c r="D111" s="6" t="str">
        <f>TRIM(MID($A111,D$3,D$4-D$3))</f>
        <v/>
      </c>
      <c r="E111" s="6" t="str">
        <f>TRIM(MID($A111,E$3,E$4-E$3))</f>
        <v/>
      </c>
      <c r="F111" s="11" t="str">
        <f>TRIM(MID($A111,F$3,F$4-F$3))</f>
        <v/>
      </c>
      <c r="G111" s="11" t="str">
        <f>TRIM(MID($A111,G$3,G$4-G$3))</f>
        <v/>
      </c>
      <c r="H111" s="11" t="str">
        <f>TRIM(MID($A111,H$3,H$4-H$3))</f>
        <v/>
      </c>
      <c r="I111" s="11" t="str">
        <f>TRIM(MID($A111,I$3,I$4-I$3))</f>
        <v/>
      </c>
      <c r="J111" s="11" t="str">
        <f>TRIM(MID($A111,J$3,J$4-J$3))</f>
        <v/>
      </c>
      <c r="K111" s="11" t="str">
        <f>TRIM(MID($A111,K$3,K$4-K$3))</f>
        <v/>
      </c>
      <c r="L111" s="11" t="str">
        <f>TRIM(MID($A111,L$3,L$4-L$3))</f>
        <v/>
      </c>
      <c r="M111" s="6" t="str">
        <f>TRIM(MID($A111,M$3,M$4-M$3))</f>
        <v/>
      </c>
    </row>
    <row r="112" spans="1:13" x14ac:dyDescent="0.4">
      <c r="A112" s="10"/>
      <c r="B112" s="7"/>
      <c r="C112" s="6" t="str">
        <f>TRIM(MID($A112,C$3,C$4-C$3))</f>
        <v/>
      </c>
      <c r="D112" s="6" t="str">
        <f>TRIM(MID($A112,D$3,D$4-D$3))</f>
        <v/>
      </c>
      <c r="E112" s="6" t="str">
        <f>TRIM(MID($A112,E$3,E$4-E$3))</f>
        <v/>
      </c>
      <c r="F112" s="11" t="str">
        <f>TRIM(MID($A112,F$3,F$4-F$3))</f>
        <v/>
      </c>
      <c r="G112" s="11" t="str">
        <f>TRIM(MID($A112,G$3,G$4-G$3))</f>
        <v/>
      </c>
      <c r="H112" s="11" t="str">
        <f>TRIM(MID($A112,H$3,H$4-H$3))</f>
        <v/>
      </c>
      <c r="I112" s="11" t="str">
        <f>TRIM(MID($A112,I$3,I$4-I$3))</f>
        <v/>
      </c>
      <c r="J112" s="11" t="str">
        <f>TRIM(MID($A112,J$3,J$4-J$3))</f>
        <v/>
      </c>
      <c r="K112" s="11" t="str">
        <f>TRIM(MID($A112,K$3,K$4-K$3))</f>
        <v/>
      </c>
      <c r="L112" s="11" t="str">
        <f>TRIM(MID($A112,L$3,L$4-L$3))</f>
        <v/>
      </c>
      <c r="M112" s="6" t="str">
        <f>TRIM(MID($A112,M$3,M$4-M$3))</f>
        <v/>
      </c>
    </row>
    <row r="113" spans="1:13" x14ac:dyDescent="0.4">
      <c r="A113" s="10"/>
      <c r="B113" s="7"/>
      <c r="C113" s="6" t="str">
        <f>TRIM(MID($A113,C$3,C$4-C$3))</f>
        <v/>
      </c>
      <c r="D113" s="6" t="str">
        <f>TRIM(MID($A113,D$3,D$4-D$3))</f>
        <v/>
      </c>
      <c r="E113" s="6" t="str">
        <f>TRIM(MID($A113,E$3,E$4-E$3))</f>
        <v/>
      </c>
      <c r="F113" s="11" t="str">
        <f>TRIM(MID($A113,F$3,F$4-F$3))</f>
        <v/>
      </c>
      <c r="G113" s="11" t="str">
        <f>TRIM(MID($A113,G$3,G$4-G$3))</f>
        <v/>
      </c>
      <c r="H113" s="11" t="str">
        <f>TRIM(MID($A113,H$3,H$4-H$3))</f>
        <v/>
      </c>
      <c r="I113" s="11" t="str">
        <f>TRIM(MID($A113,I$3,I$4-I$3))</f>
        <v/>
      </c>
      <c r="J113" s="11" t="str">
        <f>TRIM(MID($A113,J$3,J$4-J$3))</f>
        <v/>
      </c>
      <c r="K113" s="11" t="str">
        <f>TRIM(MID($A113,K$3,K$4-K$3))</f>
        <v/>
      </c>
      <c r="L113" s="11" t="str">
        <f>TRIM(MID($A113,L$3,L$4-L$3))</f>
        <v/>
      </c>
      <c r="M113" s="6" t="str">
        <f>TRIM(MID($A113,M$3,M$4-M$3))</f>
        <v/>
      </c>
    </row>
    <row r="114" spans="1:13" x14ac:dyDescent="0.4">
      <c r="A114" s="10"/>
      <c r="B114" s="7"/>
      <c r="C114" s="6" t="str">
        <f>TRIM(MID($A114,C$3,C$4-C$3))</f>
        <v/>
      </c>
      <c r="D114" s="6" t="str">
        <f>TRIM(MID($A114,D$3,D$4-D$3))</f>
        <v/>
      </c>
      <c r="E114" s="6" t="str">
        <f>TRIM(MID($A114,E$3,E$4-E$3))</f>
        <v/>
      </c>
      <c r="F114" s="11" t="str">
        <f>TRIM(MID($A114,F$3,F$4-F$3))</f>
        <v/>
      </c>
      <c r="G114" s="11" t="str">
        <f>TRIM(MID($A114,G$3,G$4-G$3))</f>
        <v/>
      </c>
      <c r="H114" s="11" t="str">
        <f>TRIM(MID($A114,H$3,H$4-H$3))</f>
        <v/>
      </c>
      <c r="I114" s="11" t="str">
        <f>TRIM(MID($A114,I$3,I$4-I$3))</f>
        <v/>
      </c>
      <c r="J114" s="11" t="str">
        <f>TRIM(MID($A114,J$3,J$4-J$3))</f>
        <v/>
      </c>
      <c r="K114" s="11" t="str">
        <f>TRIM(MID($A114,K$3,K$4-K$3))</f>
        <v/>
      </c>
      <c r="L114" s="11" t="str">
        <f>TRIM(MID($A114,L$3,L$4-L$3))</f>
        <v/>
      </c>
      <c r="M114" s="6" t="str">
        <f>TRIM(MID($A114,M$3,M$4-M$3))</f>
        <v/>
      </c>
    </row>
    <row r="115" spans="1:13" x14ac:dyDescent="0.4">
      <c r="A115" s="10"/>
      <c r="B115" s="7"/>
      <c r="C115" s="6" t="str">
        <f>TRIM(MID($A115,C$3,C$4-C$3))</f>
        <v/>
      </c>
      <c r="D115" s="6" t="str">
        <f>TRIM(MID($A115,D$3,D$4-D$3))</f>
        <v/>
      </c>
      <c r="E115" s="6" t="str">
        <f>TRIM(MID($A115,E$3,E$4-E$3))</f>
        <v/>
      </c>
      <c r="F115" s="11" t="str">
        <f>TRIM(MID($A115,F$3,F$4-F$3))</f>
        <v/>
      </c>
      <c r="G115" s="11" t="str">
        <f>TRIM(MID($A115,G$3,G$4-G$3))</f>
        <v/>
      </c>
      <c r="H115" s="11" t="str">
        <f>TRIM(MID($A115,H$3,H$4-H$3))</f>
        <v/>
      </c>
      <c r="I115" s="11" t="str">
        <f>TRIM(MID($A115,I$3,I$4-I$3))</f>
        <v/>
      </c>
      <c r="J115" s="11" t="str">
        <f>TRIM(MID($A115,J$3,J$4-J$3))</f>
        <v/>
      </c>
      <c r="K115" s="11" t="str">
        <f>TRIM(MID($A115,K$3,K$4-K$3))</f>
        <v/>
      </c>
      <c r="L115" s="11" t="str">
        <f>TRIM(MID($A115,L$3,L$4-L$3))</f>
        <v/>
      </c>
      <c r="M115" s="6" t="str">
        <f>TRIM(MID($A115,M$3,M$4-M$3))</f>
        <v/>
      </c>
    </row>
    <row r="116" spans="1:13" x14ac:dyDescent="0.4">
      <c r="A116" s="10"/>
      <c r="B116" s="7"/>
      <c r="C116" s="6" t="str">
        <f>TRIM(MID($A116,C$3,C$4-C$3))</f>
        <v/>
      </c>
      <c r="D116" s="6" t="str">
        <f>TRIM(MID($A116,D$3,D$4-D$3))</f>
        <v/>
      </c>
      <c r="E116" s="6" t="str">
        <f>TRIM(MID($A116,E$3,E$4-E$3))</f>
        <v/>
      </c>
      <c r="F116" s="11" t="str">
        <f>TRIM(MID($A116,F$3,F$4-F$3))</f>
        <v/>
      </c>
      <c r="G116" s="11" t="str">
        <f>TRIM(MID($A116,G$3,G$4-G$3))</f>
        <v/>
      </c>
      <c r="H116" s="11" t="str">
        <f>TRIM(MID($A116,H$3,H$4-H$3))</f>
        <v/>
      </c>
      <c r="I116" s="11" t="str">
        <f>TRIM(MID($A116,I$3,I$4-I$3))</f>
        <v/>
      </c>
      <c r="J116" s="11" t="str">
        <f>TRIM(MID($A116,J$3,J$4-J$3))</f>
        <v/>
      </c>
      <c r="K116" s="11" t="str">
        <f>TRIM(MID($A116,K$3,K$4-K$3))</f>
        <v/>
      </c>
      <c r="L116" s="11" t="str">
        <f>TRIM(MID($A116,L$3,L$4-L$3))</f>
        <v/>
      </c>
      <c r="M116" s="6" t="str">
        <f>TRIM(MID($A116,M$3,M$4-M$3))</f>
        <v/>
      </c>
    </row>
    <row r="117" spans="1:13" x14ac:dyDescent="0.4">
      <c r="A117" s="10"/>
      <c r="B117" s="7"/>
      <c r="C117" s="6" t="str">
        <f>TRIM(MID($A117,C$3,C$4-C$3))</f>
        <v/>
      </c>
      <c r="D117" s="6" t="str">
        <f>TRIM(MID($A117,D$3,D$4-D$3))</f>
        <v/>
      </c>
      <c r="E117" s="6" t="str">
        <f>TRIM(MID($A117,E$3,E$4-E$3))</f>
        <v/>
      </c>
      <c r="F117" s="11" t="str">
        <f>TRIM(MID($A117,F$3,F$4-F$3))</f>
        <v/>
      </c>
      <c r="G117" s="11" t="str">
        <f>TRIM(MID($A117,G$3,G$4-G$3))</f>
        <v/>
      </c>
      <c r="H117" s="11" t="str">
        <f>TRIM(MID($A117,H$3,H$4-H$3))</f>
        <v/>
      </c>
      <c r="I117" s="11" t="str">
        <f>TRIM(MID($A117,I$3,I$4-I$3))</f>
        <v/>
      </c>
      <c r="J117" s="11" t="str">
        <f>TRIM(MID($A117,J$3,J$4-J$3))</f>
        <v/>
      </c>
      <c r="K117" s="11" t="str">
        <f>TRIM(MID($A117,K$3,K$4-K$3))</f>
        <v/>
      </c>
      <c r="L117" s="11" t="str">
        <f>TRIM(MID($A117,L$3,L$4-L$3))</f>
        <v/>
      </c>
      <c r="M117" s="6" t="str">
        <f>TRIM(MID($A117,M$3,M$4-M$3))</f>
        <v/>
      </c>
    </row>
    <row r="118" spans="1:13" x14ac:dyDescent="0.4">
      <c r="A118" s="10"/>
      <c r="B118" s="7"/>
      <c r="C118" s="6" t="str">
        <f>TRIM(MID($A118,C$3,C$4-C$3))</f>
        <v/>
      </c>
      <c r="D118" s="6" t="str">
        <f>TRIM(MID($A118,D$3,D$4-D$3))</f>
        <v/>
      </c>
      <c r="E118" s="6" t="str">
        <f>TRIM(MID($A118,E$3,E$4-E$3))</f>
        <v/>
      </c>
      <c r="F118" s="11" t="str">
        <f>TRIM(MID($A118,F$3,F$4-F$3))</f>
        <v/>
      </c>
      <c r="G118" s="11" t="str">
        <f>TRIM(MID($A118,G$3,G$4-G$3))</f>
        <v/>
      </c>
      <c r="H118" s="11" t="str">
        <f>TRIM(MID($A118,H$3,H$4-H$3))</f>
        <v/>
      </c>
      <c r="I118" s="11" t="str">
        <f>TRIM(MID($A118,I$3,I$4-I$3))</f>
        <v/>
      </c>
      <c r="J118" s="11" t="str">
        <f>TRIM(MID($A118,J$3,J$4-J$3))</f>
        <v/>
      </c>
      <c r="K118" s="11" t="str">
        <f>TRIM(MID($A118,K$3,K$4-K$3))</f>
        <v/>
      </c>
      <c r="L118" s="11" t="str">
        <f>TRIM(MID($A118,L$3,L$4-L$3))</f>
        <v/>
      </c>
      <c r="M118" s="6" t="str">
        <f>TRIM(MID($A118,M$3,M$4-M$3))</f>
        <v/>
      </c>
    </row>
    <row r="119" spans="1:13" x14ac:dyDescent="0.4">
      <c r="A119" s="10"/>
      <c r="B119" s="7"/>
      <c r="C119" s="6" t="str">
        <f>TRIM(MID($A119,C$3,C$4-C$3))</f>
        <v/>
      </c>
      <c r="D119" s="6" t="str">
        <f>TRIM(MID($A119,D$3,D$4-D$3))</f>
        <v/>
      </c>
      <c r="E119" s="6" t="str">
        <f>TRIM(MID($A119,E$3,E$4-E$3))</f>
        <v/>
      </c>
      <c r="F119" s="11" t="str">
        <f>TRIM(MID($A119,F$3,F$4-F$3))</f>
        <v/>
      </c>
      <c r="G119" s="11" t="str">
        <f>TRIM(MID($A119,G$3,G$4-G$3))</f>
        <v/>
      </c>
      <c r="H119" s="11" t="str">
        <f>TRIM(MID($A119,H$3,H$4-H$3))</f>
        <v/>
      </c>
      <c r="I119" s="11" t="str">
        <f>TRIM(MID($A119,I$3,I$4-I$3))</f>
        <v/>
      </c>
      <c r="J119" s="11" t="str">
        <f>TRIM(MID($A119,J$3,J$4-J$3))</f>
        <v/>
      </c>
      <c r="K119" s="11" t="str">
        <f>TRIM(MID($A119,K$3,K$4-K$3))</f>
        <v/>
      </c>
      <c r="L119" s="11" t="str">
        <f>TRIM(MID($A119,L$3,L$4-L$3))</f>
        <v/>
      </c>
      <c r="M119" s="6" t="str">
        <f>TRIM(MID($A119,M$3,M$4-M$3))</f>
        <v/>
      </c>
    </row>
    <row r="120" spans="1:13" x14ac:dyDescent="0.4">
      <c r="A120" s="10"/>
      <c r="B120" s="7"/>
      <c r="C120" s="6" t="str">
        <f>TRIM(MID($A120,C$3,C$4-C$3))</f>
        <v/>
      </c>
      <c r="D120" s="6" t="str">
        <f>TRIM(MID($A120,D$3,D$4-D$3))</f>
        <v/>
      </c>
      <c r="E120" s="6" t="str">
        <f>TRIM(MID($A120,E$3,E$4-E$3))</f>
        <v/>
      </c>
      <c r="F120" s="11" t="str">
        <f>TRIM(MID($A120,F$3,F$4-F$3))</f>
        <v/>
      </c>
      <c r="G120" s="11" t="str">
        <f>TRIM(MID($A120,G$3,G$4-G$3))</f>
        <v/>
      </c>
      <c r="H120" s="11" t="str">
        <f>TRIM(MID($A120,H$3,H$4-H$3))</f>
        <v/>
      </c>
      <c r="I120" s="11" t="str">
        <f>TRIM(MID($A120,I$3,I$4-I$3))</f>
        <v/>
      </c>
      <c r="J120" s="11" t="str">
        <f>TRIM(MID($A120,J$3,J$4-J$3))</f>
        <v/>
      </c>
      <c r="K120" s="11" t="str">
        <f>TRIM(MID($A120,K$3,K$4-K$3))</f>
        <v/>
      </c>
      <c r="L120" s="11" t="str">
        <f>TRIM(MID($A120,L$3,L$4-L$3))</f>
        <v/>
      </c>
      <c r="M120" s="6" t="str">
        <f>TRIM(MID($A120,M$3,M$4-M$3))</f>
        <v/>
      </c>
    </row>
    <row r="121" spans="1:13" x14ac:dyDescent="0.4">
      <c r="A121" s="10"/>
      <c r="B121" s="7"/>
      <c r="C121" s="6" t="str">
        <f>TRIM(MID($A121,C$3,C$4-C$3))</f>
        <v/>
      </c>
      <c r="D121" s="6" t="str">
        <f>TRIM(MID($A121,D$3,D$4-D$3))</f>
        <v/>
      </c>
      <c r="E121" s="6" t="str">
        <f>TRIM(MID($A121,E$3,E$4-E$3))</f>
        <v/>
      </c>
      <c r="F121" s="11" t="str">
        <f>TRIM(MID($A121,F$3,F$4-F$3))</f>
        <v/>
      </c>
      <c r="G121" s="11" t="str">
        <f>TRIM(MID($A121,G$3,G$4-G$3))</f>
        <v/>
      </c>
      <c r="H121" s="11" t="str">
        <f>TRIM(MID($A121,H$3,H$4-H$3))</f>
        <v/>
      </c>
      <c r="I121" s="11" t="str">
        <f>TRIM(MID($A121,I$3,I$4-I$3))</f>
        <v/>
      </c>
      <c r="J121" s="11" t="str">
        <f>TRIM(MID($A121,J$3,J$4-J$3))</f>
        <v/>
      </c>
      <c r="K121" s="11" t="str">
        <f>TRIM(MID($A121,K$3,K$4-K$3))</f>
        <v/>
      </c>
      <c r="L121" s="11" t="str">
        <f>TRIM(MID($A121,L$3,L$4-L$3))</f>
        <v/>
      </c>
      <c r="M121" s="6" t="str">
        <f>TRIM(MID($A121,M$3,M$4-M$3))</f>
        <v/>
      </c>
    </row>
    <row r="122" spans="1:13" x14ac:dyDescent="0.4">
      <c r="A122" s="10"/>
      <c r="B122" s="7"/>
      <c r="C122" s="6" t="str">
        <f>TRIM(MID($A122,C$3,C$4-C$3))</f>
        <v/>
      </c>
      <c r="D122" s="6" t="str">
        <f>TRIM(MID($A122,D$3,D$4-D$3))</f>
        <v/>
      </c>
      <c r="E122" s="6" t="str">
        <f>TRIM(MID($A122,E$3,E$4-E$3))</f>
        <v/>
      </c>
      <c r="F122" s="11" t="str">
        <f>TRIM(MID($A122,F$3,F$4-F$3))</f>
        <v/>
      </c>
      <c r="G122" s="11" t="str">
        <f>TRIM(MID($A122,G$3,G$4-G$3))</f>
        <v/>
      </c>
      <c r="H122" s="11" t="str">
        <f>TRIM(MID($A122,H$3,H$4-H$3))</f>
        <v/>
      </c>
      <c r="I122" s="11" t="str">
        <f>TRIM(MID($A122,I$3,I$4-I$3))</f>
        <v/>
      </c>
      <c r="J122" s="11" t="str">
        <f>TRIM(MID($A122,J$3,J$4-J$3))</f>
        <v/>
      </c>
      <c r="K122" s="11" t="str">
        <f>TRIM(MID($A122,K$3,K$4-K$3))</f>
        <v/>
      </c>
      <c r="L122" s="11" t="str">
        <f>TRIM(MID($A122,L$3,L$4-L$3))</f>
        <v/>
      </c>
      <c r="M122" s="6" t="str">
        <f>TRIM(MID($A122,M$3,M$4-M$3))</f>
        <v/>
      </c>
    </row>
    <row r="123" spans="1:13" x14ac:dyDescent="0.4">
      <c r="A123" s="10"/>
      <c r="B123" s="7"/>
      <c r="C123" s="6" t="str">
        <f>TRIM(MID($A123,C$3,C$4-C$3))</f>
        <v/>
      </c>
      <c r="D123" s="6" t="str">
        <f>TRIM(MID($A123,D$3,D$4-D$3))</f>
        <v/>
      </c>
      <c r="E123" s="6" t="str">
        <f>TRIM(MID($A123,E$3,E$4-E$3))</f>
        <v/>
      </c>
      <c r="F123" s="11" t="str">
        <f>TRIM(MID($A123,F$3,F$4-F$3))</f>
        <v/>
      </c>
      <c r="G123" s="11" t="str">
        <f>TRIM(MID($A123,G$3,G$4-G$3))</f>
        <v/>
      </c>
      <c r="H123" s="11" t="str">
        <f>TRIM(MID($A123,H$3,H$4-H$3))</f>
        <v/>
      </c>
      <c r="I123" s="11" t="str">
        <f>TRIM(MID($A123,I$3,I$4-I$3))</f>
        <v/>
      </c>
      <c r="J123" s="11" t="str">
        <f>TRIM(MID($A123,J$3,J$4-J$3))</f>
        <v/>
      </c>
      <c r="K123" s="11" t="str">
        <f>TRIM(MID($A123,K$3,K$4-K$3))</f>
        <v/>
      </c>
      <c r="L123" s="11" t="str">
        <f>TRIM(MID($A123,L$3,L$4-L$3))</f>
        <v/>
      </c>
      <c r="M123" s="6" t="str">
        <f>TRIM(MID($A123,M$3,M$4-M$3))</f>
        <v/>
      </c>
    </row>
    <row r="124" spans="1:13" x14ac:dyDescent="0.4">
      <c r="A124" s="10"/>
      <c r="B124" s="7"/>
      <c r="C124" s="6" t="str">
        <f>TRIM(MID($A124,C$3,C$4-C$3))</f>
        <v/>
      </c>
      <c r="D124" s="6" t="str">
        <f>TRIM(MID($A124,D$3,D$4-D$3))</f>
        <v/>
      </c>
      <c r="E124" s="6" t="str">
        <f>TRIM(MID($A124,E$3,E$4-E$3))</f>
        <v/>
      </c>
      <c r="F124" s="11" t="str">
        <f>TRIM(MID($A124,F$3,F$4-F$3))</f>
        <v/>
      </c>
      <c r="G124" s="11" t="str">
        <f>TRIM(MID($A124,G$3,G$4-G$3))</f>
        <v/>
      </c>
      <c r="H124" s="11" t="str">
        <f>TRIM(MID($A124,H$3,H$4-H$3))</f>
        <v/>
      </c>
      <c r="I124" s="11" t="str">
        <f>TRIM(MID($A124,I$3,I$4-I$3))</f>
        <v/>
      </c>
      <c r="J124" s="11" t="str">
        <f>TRIM(MID($A124,J$3,J$4-J$3))</f>
        <v/>
      </c>
      <c r="K124" s="11" t="str">
        <f>TRIM(MID($A124,K$3,K$4-K$3))</f>
        <v/>
      </c>
      <c r="L124" s="11" t="str">
        <f>TRIM(MID($A124,L$3,L$4-L$3))</f>
        <v/>
      </c>
      <c r="M124" s="6" t="str">
        <f>TRIM(MID($A124,M$3,M$4-M$3))</f>
        <v/>
      </c>
    </row>
    <row r="125" spans="1:13" x14ac:dyDescent="0.4">
      <c r="A125" s="10"/>
      <c r="B125" s="7"/>
      <c r="C125" s="6" t="str">
        <f>TRIM(MID($A125,C$3,C$4-C$3))</f>
        <v/>
      </c>
      <c r="D125" s="6" t="str">
        <f>TRIM(MID($A125,D$3,D$4-D$3))</f>
        <v/>
      </c>
      <c r="E125" s="6" t="str">
        <f>TRIM(MID($A125,E$3,E$4-E$3))</f>
        <v/>
      </c>
      <c r="F125" s="11" t="str">
        <f>TRIM(MID($A125,F$3,F$4-F$3))</f>
        <v/>
      </c>
      <c r="G125" s="11" t="str">
        <f>TRIM(MID($A125,G$3,G$4-G$3))</f>
        <v/>
      </c>
      <c r="H125" s="11" t="str">
        <f>TRIM(MID($A125,H$3,H$4-H$3))</f>
        <v/>
      </c>
      <c r="I125" s="11" t="str">
        <f>TRIM(MID($A125,I$3,I$4-I$3))</f>
        <v/>
      </c>
      <c r="J125" s="11" t="str">
        <f>TRIM(MID($A125,J$3,J$4-J$3))</f>
        <v/>
      </c>
      <c r="K125" s="11" t="str">
        <f>TRIM(MID($A125,K$3,K$4-K$3))</f>
        <v/>
      </c>
      <c r="L125" s="11" t="str">
        <f>TRIM(MID($A125,L$3,L$4-L$3))</f>
        <v/>
      </c>
      <c r="M125" s="6" t="str">
        <f>TRIM(MID($A125,M$3,M$4-M$3))</f>
        <v/>
      </c>
    </row>
    <row r="126" spans="1:13" x14ac:dyDescent="0.4">
      <c r="A126" s="10"/>
      <c r="B126" s="7"/>
      <c r="C126" s="6" t="str">
        <f>TRIM(MID($A126,C$3,C$4-C$3))</f>
        <v/>
      </c>
      <c r="D126" s="6" t="str">
        <f>TRIM(MID($A126,D$3,D$4-D$3))</f>
        <v/>
      </c>
      <c r="E126" s="6" t="str">
        <f>TRIM(MID($A126,E$3,E$4-E$3))</f>
        <v/>
      </c>
      <c r="F126" s="11" t="str">
        <f>TRIM(MID($A126,F$3,F$4-F$3))</f>
        <v/>
      </c>
      <c r="G126" s="11" t="str">
        <f>TRIM(MID($A126,G$3,G$4-G$3))</f>
        <v/>
      </c>
      <c r="H126" s="11" t="str">
        <f>TRIM(MID($A126,H$3,H$4-H$3))</f>
        <v/>
      </c>
      <c r="I126" s="11" t="str">
        <f>TRIM(MID($A126,I$3,I$4-I$3))</f>
        <v/>
      </c>
      <c r="J126" s="11" t="str">
        <f>TRIM(MID($A126,J$3,J$4-J$3))</f>
        <v/>
      </c>
      <c r="K126" s="11" t="str">
        <f>TRIM(MID($A126,K$3,K$4-K$3))</f>
        <v/>
      </c>
      <c r="L126" s="11" t="str">
        <f>TRIM(MID($A126,L$3,L$4-L$3))</f>
        <v/>
      </c>
      <c r="M126" s="6" t="str">
        <f>TRIM(MID($A126,M$3,M$4-M$3))</f>
        <v/>
      </c>
    </row>
    <row r="127" spans="1:13" x14ac:dyDescent="0.4">
      <c r="A127" s="10"/>
      <c r="B127" s="7"/>
      <c r="C127" s="6" t="str">
        <f>TRIM(MID($A127,C$3,C$4-C$3))</f>
        <v/>
      </c>
      <c r="D127" s="6" t="str">
        <f>TRIM(MID($A127,D$3,D$4-D$3))</f>
        <v/>
      </c>
      <c r="E127" s="6" t="str">
        <f>TRIM(MID($A127,E$3,E$4-E$3))</f>
        <v/>
      </c>
      <c r="F127" s="11" t="str">
        <f>TRIM(MID($A127,F$3,F$4-F$3))</f>
        <v/>
      </c>
      <c r="G127" s="11" t="str">
        <f>TRIM(MID($A127,G$3,G$4-G$3))</f>
        <v/>
      </c>
      <c r="H127" s="11" t="str">
        <f>TRIM(MID($A127,H$3,H$4-H$3))</f>
        <v/>
      </c>
      <c r="I127" s="11" t="str">
        <f>TRIM(MID($A127,I$3,I$4-I$3))</f>
        <v/>
      </c>
      <c r="J127" s="11" t="str">
        <f>TRIM(MID($A127,J$3,J$4-J$3))</f>
        <v/>
      </c>
      <c r="K127" s="11" t="str">
        <f>TRIM(MID($A127,K$3,K$4-K$3))</f>
        <v/>
      </c>
      <c r="L127" s="11" t="str">
        <f>TRIM(MID($A127,L$3,L$4-L$3))</f>
        <v/>
      </c>
      <c r="M127" s="6" t="str">
        <f>TRIM(MID($A127,M$3,M$4-M$3))</f>
        <v/>
      </c>
    </row>
    <row r="128" spans="1:13" x14ac:dyDescent="0.4">
      <c r="A128" s="10"/>
      <c r="B128" s="7"/>
      <c r="C128" s="6" t="str">
        <f>TRIM(MID($A128,C$3,C$4-C$3))</f>
        <v/>
      </c>
      <c r="D128" s="6" t="str">
        <f>TRIM(MID($A128,D$3,D$4-D$3))</f>
        <v/>
      </c>
      <c r="E128" s="6" t="str">
        <f>TRIM(MID($A128,E$3,E$4-E$3))</f>
        <v/>
      </c>
      <c r="F128" s="11" t="str">
        <f>TRIM(MID($A128,F$3,F$4-F$3))</f>
        <v/>
      </c>
      <c r="G128" s="11" t="str">
        <f>TRIM(MID($A128,G$3,G$4-G$3))</f>
        <v/>
      </c>
      <c r="H128" s="11" t="str">
        <f>TRIM(MID($A128,H$3,H$4-H$3))</f>
        <v/>
      </c>
      <c r="I128" s="11" t="str">
        <f>TRIM(MID($A128,I$3,I$4-I$3))</f>
        <v/>
      </c>
      <c r="J128" s="11" t="str">
        <f>TRIM(MID($A128,J$3,J$4-J$3))</f>
        <v/>
      </c>
      <c r="K128" s="11" t="str">
        <f>TRIM(MID($A128,K$3,K$4-K$3))</f>
        <v/>
      </c>
      <c r="L128" s="11" t="str">
        <f>TRIM(MID($A128,L$3,L$4-L$3))</f>
        <v/>
      </c>
      <c r="M128" s="6" t="str">
        <f>TRIM(MID($A128,M$3,M$4-M$3))</f>
        <v/>
      </c>
    </row>
    <row r="129" spans="1:13" x14ac:dyDescent="0.4">
      <c r="A129" s="10"/>
      <c r="B129" s="7"/>
      <c r="C129" s="6" t="str">
        <f>TRIM(MID($A129,C$3,C$4-C$3))</f>
        <v/>
      </c>
      <c r="D129" s="6" t="str">
        <f>TRIM(MID($A129,D$3,D$4-D$3))</f>
        <v/>
      </c>
      <c r="E129" s="6" t="str">
        <f>TRIM(MID($A129,E$3,E$4-E$3))</f>
        <v/>
      </c>
      <c r="F129" s="11" t="str">
        <f>TRIM(MID($A129,F$3,F$4-F$3))</f>
        <v/>
      </c>
      <c r="G129" s="11" t="str">
        <f>TRIM(MID($A129,G$3,G$4-G$3))</f>
        <v/>
      </c>
      <c r="H129" s="11" t="str">
        <f>TRIM(MID($A129,H$3,H$4-H$3))</f>
        <v/>
      </c>
      <c r="I129" s="11" t="str">
        <f>TRIM(MID($A129,I$3,I$4-I$3))</f>
        <v/>
      </c>
      <c r="J129" s="11" t="str">
        <f>TRIM(MID($A129,J$3,J$4-J$3))</f>
        <v/>
      </c>
      <c r="K129" s="11" t="str">
        <f>TRIM(MID($A129,K$3,K$4-K$3))</f>
        <v/>
      </c>
      <c r="L129" s="11" t="str">
        <f>TRIM(MID($A129,L$3,L$4-L$3))</f>
        <v/>
      </c>
      <c r="M129" s="6" t="str">
        <f>TRIM(MID($A129,M$3,M$4-M$3))</f>
        <v/>
      </c>
    </row>
    <row r="130" spans="1:13" x14ac:dyDescent="0.4">
      <c r="A130" s="10"/>
      <c r="B130" s="7"/>
      <c r="C130" s="6" t="str">
        <f>TRIM(MID($A130,C$3,C$4-C$3))</f>
        <v/>
      </c>
      <c r="D130" s="6" t="str">
        <f>TRIM(MID($A130,D$3,D$4-D$3))</f>
        <v/>
      </c>
      <c r="E130" s="6" t="str">
        <f>TRIM(MID($A130,E$3,E$4-E$3))</f>
        <v/>
      </c>
      <c r="F130" s="11" t="str">
        <f>TRIM(MID($A130,F$3,F$4-F$3))</f>
        <v/>
      </c>
      <c r="G130" s="11" t="str">
        <f>TRIM(MID($A130,G$3,G$4-G$3))</f>
        <v/>
      </c>
      <c r="H130" s="11" t="str">
        <f>TRIM(MID($A130,H$3,H$4-H$3))</f>
        <v/>
      </c>
      <c r="I130" s="11" t="str">
        <f>TRIM(MID($A130,I$3,I$4-I$3))</f>
        <v/>
      </c>
      <c r="J130" s="11" t="str">
        <f>TRIM(MID($A130,J$3,J$4-J$3))</f>
        <v/>
      </c>
      <c r="K130" s="11" t="str">
        <f>TRIM(MID($A130,K$3,K$4-K$3))</f>
        <v/>
      </c>
      <c r="L130" s="11" t="str">
        <f>TRIM(MID($A130,L$3,L$4-L$3))</f>
        <v/>
      </c>
      <c r="M130" s="6" t="str">
        <f>TRIM(MID($A130,M$3,M$4-M$3))</f>
        <v/>
      </c>
    </row>
    <row r="131" spans="1:13" x14ac:dyDescent="0.4">
      <c r="A131" s="10"/>
      <c r="B131" s="7"/>
      <c r="C131" s="6" t="str">
        <f>TRIM(MID($A131,C$3,C$4-C$3))</f>
        <v/>
      </c>
      <c r="D131" s="6" t="str">
        <f>TRIM(MID($A131,D$3,D$4-D$3))</f>
        <v/>
      </c>
      <c r="E131" s="6" t="str">
        <f>TRIM(MID($A131,E$3,E$4-E$3))</f>
        <v/>
      </c>
      <c r="F131" s="11" t="str">
        <f>TRIM(MID($A131,F$3,F$4-F$3))</f>
        <v/>
      </c>
      <c r="G131" s="11" t="str">
        <f>TRIM(MID($A131,G$3,G$4-G$3))</f>
        <v/>
      </c>
      <c r="H131" s="11" t="str">
        <f>TRIM(MID($A131,H$3,H$4-H$3))</f>
        <v/>
      </c>
      <c r="I131" s="11" t="str">
        <f>TRIM(MID($A131,I$3,I$4-I$3))</f>
        <v/>
      </c>
      <c r="J131" s="11" t="str">
        <f>TRIM(MID($A131,J$3,J$4-J$3))</f>
        <v/>
      </c>
      <c r="K131" s="11" t="str">
        <f>TRIM(MID($A131,K$3,K$4-K$3))</f>
        <v/>
      </c>
      <c r="L131" s="11" t="str">
        <f>TRIM(MID($A131,L$3,L$4-L$3))</f>
        <v/>
      </c>
      <c r="M131" s="6" t="str">
        <f>TRIM(MID($A131,M$3,M$4-M$3))</f>
        <v/>
      </c>
    </row>
    <row r="132" spans="1:13" x14ac:dyDescent="0.4">
      <c r="A132" s="10"/>
      <c r="B132" s="7"/>
      <c r="C132" s="6" t="str">
        <f>TRIM(MID($A132,C$3,C$4-C$3))</f>
        <v/>
      </c>
      <c r="D132" s="6" t="str">
        <f>TRIM(MID($A132,D$3,D$4-D$3))</f>
        <v/>
      </c>
      <c r="E132" s="6" t="str">
        <f>TRIM(MID($A132,E$3,E$4-E$3))</f>
        <v/>
      </c>
      <c r="F132" s="11" t="str">
        <f>TRIM(MID($A132,F$3,F$4-F$3))</f>
        <v/>
      </c>
      <c r="G132" s="11" t="str">
        <f>TRIM(MID($A132,G$3,G$4-G$3))</f>
        <v/>
      </c>
      <c r="H132" s="11" t="str">
        <f>TRIM(MID($A132,H$3,H$4-H$3))</f>
        <v/>
      </c>
      <c r="I132" s="11" t="str">
        <f>TRIM(MID($A132,I$3,I$4-I$3))</f>
        <v/>
      </c>
      <c r="J132" s="11" t="str">
        <f>TRIM(MID($A132,J$3,J$4-J$3))</f>
        <v/>
      </c>
      <c r="K132" s="11" t="str">
        <f>TRIM(MID($A132,K$3,K$4-K$3))</f>
        <v/>
      </c>
      <c r="L132" s="11" t="str">
        <f>TRIM(MID($A132,L$3,L$4-L$3))</f>
        <v/>
      </c>
      <c r="M132" s="6" t="str">
        <f>TRIM(MID($A132,M$3,M$4-M$3))</f>
        <v/>
      </c>
    </row>
    <row r="133" spans="1:13" x14ac:dyDescent="0.4">
      <c r="A133" s="10"/>
      <c r="B133" s="7"/>
      <c r="C133" s="6" t="str">
        <f>TRIM(MID($A133,C$3,C$4-C$3))</f>
        <v/>
      </c>
      <c r="D133" s="6" t="str">
        <f>TRIM(MID($A133,D$3,D$4-D$3))</f>
        <v/>
      </c>
      <c r="E133" s="6" t="str">
        <f>TRIM(MID($A133,E$3,E$4-E$3))</f>
        <v/>
      </c>
      <c r="F133" s="11" t="str">
        <f>TRIM(MID($A133,F$3,F$4-F$3))</f>
        <v/>
      </c>
      <c r="G133" s="11" t="str">
        <f>TRIM(MID($A133,G$3,G$4-G$3))</f>
        <v/>
      </c>
      <c r="H133" s="11" t="str">
        <f>TRIM(MID($A133,H$3,H$4-H$3))</f>
        <v/>
      </c>
      <c r="I133" s="11" t="str">
        <f>TRIM(MID($A133,I$3,I$4-I$3))</f>
        <v/>
      </c>
      <c r="J133" s="11" t="str">
        <f>TRIM(MID($A133,J$3,J$4-J$3))</f>
        <v/>
      </c>
      <c r="K133" s="11" t="str">
        <f>TRIM(MID($A133,K$3,K$4-K$3))</f>
        <v/>
      </c>
      <c r="L133" s="11" t="str">
        <f>TRIM(MID($A133,L$3,L$4-L$3))</f>
        <v/>
      </c>
      <c r="M133" s="6" t="str">
        <f>TRIM(MID($A133,M$3,M$4-M$3))</f>
        <v/>
      </c>
    </row>
    <row r="134" spans="1:13" x14ac:dyDescent="0.4">
      <c r="A134" s="10"/>
      <c r="B134" s="7"/>
      <c r="C134" s="6" t="str">
        <f>TRIM(MID($A134,C$3,C$4-C$3))</f>
        <v/>
      </c>
      <c r="D134" s="6" t="str">
        <f>TRIM(MID($A134,D$3,D$4-D$3))</f>
        <v/>
      </c>
      <c r="E134" s="6" t="str">
        <f>TRIM(MID($A134,E$3,E$4-E$3))</f>
        <v/>
      </c>
      <c r="F134" s="11" t="str">
        <f>TRIM(MID($A134,F$3,F$4-F$3))</f>
        <v/>
      </c>
      <c r="G134" s="11" t="str">
        <f>TRIM(MID($A134,G$3,G$4-G$3))</f>
        <v/>
      </c>
      <c r="H134" s="11" t="str">
        <f>TRIM(MID($A134,H$3,H$4-H$3))</f>
        <v/>
      </c>
      <c r="I134" s="11" t="str">
        <f>TRIM(MID($A134,I$3,I$4-I$3))</f>
        <v/>
      </c>
      <c r="J134" s="11" t="str">
        <f>TRIM(MID($A134,J$3,J$4-J$3))</f>
        <v/>
      </c>
      <c r="K134" s="11" t="str">
        <f>TRIM(MID($A134,K$3,K$4-K$3))</f>
        <v/>
      </c>
      <c r="L134" s="11" t="str">
        <f>TRIM(MID($A134,L$3,L$4-L$3))</f>
        <v/>
      </c>
      <c r="M134" s="6" t="str">
        <f>TRIM(MID($A134,M$3,M$4-M$3))</f>
        <v/>
      </c>
    </row>
    <row r="135" spans="1:13" x14ac:dyDescent="0.4">
      <c r="A135" s="10"/>
      <c r="B135" s="7"/>
      <c r="C135" s="6" t="str">
        <f>TRIM(MID($A135,C$3,C$4-C$3))</f>
        <v/>
      </c>
      <c r="D135" s="6" t="str">
        <f>TRIM(MID($A135,D$3,D$4-D$3))</f>
        <v/>
      </c>
      <c r="E135" s="6" t="str">
        <f>TRIM(MID($A135,E$3,E$4-E$3))</f>
        <v/>
      </c>
      <c r="F135" s="11" t="str">
        <f>TRIM(MID($A135,F$3,F$4-F$3))</f>
        <v/>
      </c>
      <c r="G135" s="11" t="str">
        <f>TRIM(MID($A135,G$3,G$4-G$3))</f>
        <v/>
      </c>
      <c r="H135" s="11" t="str">
        <f>TRIM(MID($A135,H$3,H$4-H$3))</f>
        <v/>
      </c>
      <c r="I135" s="11" t="str">
        <f>TRIM(MID($A135,I$3,I$4-I$3))</f>
        <v/>
      </c>
      <c r="J135" s="11" t="str">
        <f>TRIM(MID($A135,J$3,J$4-J$3))</f>
        <v/>
      </c>
      <c r="K135" s="11" t="str">
        <f>TRIM(MID($A135,K$3,K$4-K$3))</f>
        <v/>
      </c>
      <c r="L135" s="11" t="str">
        <f>TRIM(MID($A135,L$3,L$4-L$3))</f>
        <v/>
      </c>
      <c r="M135" s="6" t="str">
        <f>TRIM(MID($A135,M$3,M$4-M$3))</f>
        <v/>
      </c>
    </row>
    <row r="136" spans="1:13" x14ac:dyDescent="0.4">
      <c r="A136" s="10"/>
      <c r="B136" s="7"/>
      <c r="C136" s="6" t="str">
        <f>TRIM(MID($A136,C$3,C$4-C$3))</f>
        <v/>
      </c>
      <c r="D136" s="6" t="str">
        <f>TRIM(MID($A136,D$3,D$4-D$3))</f>
        <v/>
      </c>
      <c r="E136" s="6" t="str">
        <f>TRIM(MID($A136,E$3,E$4-E$3))</f>
        <v/>
      </c>
      <c r="F136" s="11" t="str">
        <f>TRIM(MID($A136,F$3,F$4-F$3))</f>
        <v/>
      </c>
      <c r="G136" s="11" t="str">
        <f>TRIM(MID($A136,G$3,G$4-G$3))</f>
        <v/>
      </c>
      <c r="H136" s="11" t="str">
        <f>TRIM(MID($A136,H$3,H$4-H$3))</f>
        <v/>
      </c>
      <c r="I136" s="11" t="str">
        <f>TRIM(MID($A136,I$3,I$4-I$3))</f>
        <v/>
      </c>
      <c r="J136" s="11" t="str">
        <f>TRIM(MID($A136,J$3,J$4-J$3))</f>
        <v/>
      </c>
      <c r="K136" s="11" t="str">
        <f>TRIM(MID($A136,K$3,K$4-K$3))</f>
        <v/>
      </c>
      <c r="L136" s="11" t="str">
        <f>TRIM(MID($A136,L$3,L$4-L$3))</f>
        <v/>
      </c>
      <c r="M136" s="6" t="str">
        <f>TRIM(MID($A136,M$3,M$4-M$3))</f>
        <v/>
      </c>
    </row>
    <row r="137" spans="1:13" x14ac:dyDescent="0.4">
      <c r="A137" s="10"/>
      <c r="B137" s="7"/>
      <c r="C137" s="6" t="str">
        <f>TRIM(MID($A137,C$3,C$4-C$3))</f>
        <v/>
      </c>
      <c r="D137" s="6" t="str">
        <f>TRIM(MID($A137,D$3,D$4-D$3))</f>
        <v/>
      </c>
      <c r="E137" s="6" t="str">
        <f>TRIM(MID($A137,E$3,E$4-E$3))</f>
        <v/>
      </c>
      <c r="F137" s="11" t="str">
        <f>TRIM(MID($A137,F$3,F$4-F$3))</f>
        <v/>
      </c>
      <c r="G137" s="11" t="str">
        <f>TRIM(MID($A137,G$3,G$4-G$3))</f>
        <v/>
      </c>
      <c r="H137" s="11" t="str">
        <f>TRIM(MID($A137,H$3,H$4-H$3))</f>
        <v/>
      </c>
      <c r="I137" s="11" t="str">
        <f>TRIM(MID($A137,I$3,I$4-I$3))</f>
        <v/>
      </c>
      <c r="J137" s="11" t="str">
        <f>TRIM(MID($A137,J$3,J$4-J$3))</f>
        <v/>
      </c>
      <c r="K137" s="11" t="str">
        <f>TRIM(MID($A137,K$3,K$4-K$3))</f>
        <v/>
      </c>
      <c r="L137" s="11" t="str">
        <f>TRIM(MID($A137,L$3,L$4-L$3))</f>
        <v/>
      </c>
      <c r="M137" s="6" t="str">
        <f>TRIM(MID($A137,M$3,M$4-M$3))</f>
        <v/>
      </c>
    </row>
    <row r="138" spans="1:13" x14ac:dyDescent="0.4">
      <c r="A138" s="10"/>
      <c r="B138" s="7"/>
      <c r="C138" s="6" t="str">
        <f>TRIM(MID($A138,C$3,C$4-C$3))</f>
        <v/>
      </c>
      <c r="D138" s="6" t="str">
        <f>TRIM(MID($A138,D$3,D$4-D$3))</f>
        <v/>
      </c>
      <c r="E138" s="6" t="str">
        <f>TRIM(MID($A138,E$3,E$4-E$3))</f>
        <v/>
      </c>
      <c r="F138" s="11" t="str">
        <f>TRIM(MID($A138,F$3,F$4-F$3))</f>
        <v/>
      </c>
      <c r="G138" s="11" t="str">
        <f>TRIM(MID($A138,G$3,G$4-G$3))</f>
        <v/>
      </c>
      <c r="H138" s="11" t="str">
        <f>TRIM(MID($A138,H$3,H$4-H$3))</f>
        <v/>
      </c>
      <c r="I138" s="11" t="str">
        <f>TRIM(MID($A138,I$3,I$4-I$3))</f>
        <v/>
      </c>
      <c r="J138" s="11" t="str">
        <f>TRIM(MID($A138,J$3,J$4-J$3))</f>
        <v/>
      </c>
      <c r="K138" s="11" t="str">
        <f>TRIM(MID($A138,K$3,K$4-K$3))</f>
        <v/>
      </c>
      <c r="L138" s="11" t="str">
        <f>TRIM(MID($A138,L$3,L$4-L$3))</f>
        <v/>
      </c>
      <c r="M138" s="6" t="str">
        <f>TRIM(MID($A138,M$3,M$4-M$3))</f>
        <v/>
      </c>
    </row>
    <row r="139" spans="1:13" x14ac:dyDescent="0.4">
      <c r="A139" s="10"/>
      <c r="B139" s="7"/>
      <c r="C139" s="6" t="str">
        <f>TRIM(MID($A139,C$3,C$4-C$3))</f>
        <v/>
      </c>
      <c r="D139" s="6" t="str">
        <f>TRIM(MID($A139,D$3,D$4-D$3))</f>
        <v/>
      </c>
      <c r="E139" s="6" t="str">
        <f>TRIM(MID($A139,E$3,E$4-E$3))</f>
        <v/>
      </c>
      <c r="F139" s="11" t="str">
        <f>TRIM(MID($A139,F$3,F$4-F$3))</f>
        <v/>
      </c>
      <c r="G139" s="11" t="str">
        <f>TRIM(MID($A139,G$3,G$4-G$3))</f>
        <v/>
      </c>
      <c r="H139" s="11" t="str">
        <f>TRIM(MID($A139,H$3,H$4-H$3))</f>
        <v/>
      </c>
      <c r="I139" s="11" t="str">
        <f>TRIM(MID($A139,I$3,I$4-I$3))</f>
        <v/>
      </c>
      <c r="J139" s="11" t="str">
        <f>TRIM(MID($A139,J$3,J$4-J$3))</f>
        <v/>
      </c>
      <c r="K139" s="11" t="str">
        <f>TRIM(MID($A139,K$3,K$4-K$3))</f>
        <v/>
      </c>
      <c r="L139" s="11" t="str">
        <f>TRIM(MID($A139,L$3,L$4-L$3))</f>
        <v/>
      </c>
      <c r="M139" s="6" t="str">
        <f>TRIM(MID($A139,M$3,M$4-M$3))</f>
        <v/>
      </c>
    </row>
    <row r="140" spans="1:13" x14ac:dyDescent="0.4">
      <c r="A140" s="10"/>
      <c r="B140" s="7"/>
      <c r="C140" s="6" t="str">
        <f>TRIM(MID($A140,C$3,C$4-C$3))</f>
        <v/>
      </c>
      <c r="D140" s="6" t="str">
        <f>TRIM(MID($A140,D$3,D$4-D$3))</f>
        <v/>
      </c>
      <c r="E140" s="6" t="str">
        <f>TRIM(MID($A140,E$3,E$4-E$3))</f>
        <v/>
      </c>
      <c r="F140" s="11" t="str">
        <f>TRIM(MID($A140,F$3,F$4-F$3))</f>
        <v/>
      </c>
      <c r="G140" s="11" t="str">
        <f>TRIM(MID($A140,G$3,G$4-G$3))</f>
        <v/>
      </c>
      <c r="H140" s="11" t="str">
        <f>TRIM(MID($A140,H$3,H$4-H$3))</f>
        <v/>
      </c>
      <c r="I140" s="11" t="str">
        <f>TRIM(MID($A140,I$3,I$4-I$3))</f>
        <v/>
      </c>
      <c r="J140" s="11" t="str">
        <f>TRIM(MID($A140,J$3,J$4-J$3))</f>
        <v/>
      </c>
      <c r="K140" s="11" t="str">
        <f>TRIM(MID($A140,K$3,K$4-K$3))</f>
        <v/>
      </c>
      <c r="L140" s="11" t="str">
        <f>TRIM(MID($A140,L$3,L$4-L$3))</f>
        <v/>
      </c>
      <c r="M140" s="6" t="str">
        <f>TRIM(MID($A140,M$3,M$4-M$3))</f>
        <v/>
      </c>
    </row>
    <row r="141" spans="1:13" x14ac:dyDescent="0.4">
      <c r="A141" s="10"/>
      <c r="B141" s="7"/>
      <c r="C141" s="6" t="str">
        <f>TRIM(MID($A141,C$3,C$4-C$3))</f>
        <v/>
      </c>
      <c r="D141" s="6" t="str">
        <f>TRIM(MID($A141,D$3,D$4-D$3))</f>
        <v/>
      </c>
      <c r="E141" s="6" t="str">
        <f>TRIM(MID($A141,E$3,E$4-E$3))</f>
        <v/>
      </c>
      <c r="F141" s="11" t="str">
        <f>TRIM(MID($A141,F$3,F$4-F$3))</f>
        <v/>
      </c>
      <c r="G141" s="11" t="str">
        <f>TRIM(MID($A141,G$3,G$4-G$3))</f>
        <v/>
      </c>
      <c r="H141" s="11" t="str">
        <f>TRIM(MID($A141,H$3,H$4-H$3))</f>
        <v/>
      </c>
      <c r="I141" s="11" t="str">
        <f>TRIM(MID($A141,I$3,I$4-I$3))</f>
        <v/>
      </c>
      <c r="J141" s="11" t="str">
        <f>TRIM(MID($A141,J$3,J$4-J$3))</f>
        <v/>
      </c>
      <c r="K141" s="11" t="str">
        <f>TRIM(MID($A141,K$3,K$4-K$3))</f>
        <v/>
      </c>
      <c r="L141" s="11" t="str">
        <f>TRIM(MID($A141,L$3,L$4-L$3))</f>
        <v/>
      </c>
      <c r="M141" s="6" t="str">
        <f>TRIM(MID($A141,M$3,M$4-M$3))</f>
        <v/>
      </c>
    </row>
    <row r="142" spans="1:13" x14ac:dyDescent="0.4">
      <c r="A142" s="10"/>
      <c r="B142" s="7"/>
      <c r="C142" s="6" t="str">
        <f>TRIM(MID($A142,C$3,C$4-C$3))</f>
        <v/>
      </c>
      <c r="D142" s="6" t="str">
        <f>TRIM(MID($A142,D$3,D$4-D$3))</f>
        <v/>
      </c>
      <c r="E142" s="6" t="str">
        <f>TRIM(MID($A142,E$3,E$4-E$3))</f>
        <v/>
      </c>
      <c r="F142" s="11" t="str">
        <f>TRIM(MID($A142,F$3,F$4-F$3))</f>
        <v/>
      </c>
      <c r="G142" s="11" t="str">
        <f>TRIM(MID($A142,G$3,G$4-G$3))</f>
        <v/>
      </c>
      <c r="H142" s="11" t="str">
        <f>TRIM(MID($A142,H$3,H$4-H$3))</f>
        <v/>
      </c>
      <c r="I142" s="11" t="str">
        <f>TRIM(MID($A142,I$3,I$4-I$3))</f>
        <v/>
      </c>
      <c r="J142" s="11" t="str">
        <f>TRIM(MID($A142,J$3,J$4-J$3))</f>
        <v/>
      </c>
      <c r="K142" s="11" t="str">
        <f>TRIM(MID($A142,K$3,K$4-K$3))</f>
        <v/>
      </c>
      <c r="L142" s="11" t="str">
        <f>TRIM(MID($A142,L$3,L$4-L$3))</f>
        <v/>
      </c>
      <c r="M142" s="6" t="str">
        <f>TRIM(MID($A142,M$3,M$4-M$3))</f>
        <v/>
      </c>
    </row>
    <row r="143" spans="1:13" x14ac:dyDescent="0.4">
      <c r="A143" s="10"/>
      <c r="B143" s="7"/>
      <c r="C143" s="6" t="str">
        <f>TRIM(MID($A143,C$3,C$4-C$3))</f>
        <v/>
      </c>
      <c r="D143" s="6" t="str">
        <f>TRIM(MID($A143,D$3,D$4-D$3))</f>
        <v/>
      </c>
      <c r="E143" s="6" t="str">
        <f>TRIM(MID($A143,E$3,E$4-E$3))</f>
        <v/>
      </c>
      <c r="F143" s="11" t="str">
        <f>TRIM(MID($A143,F$3,F$4-F$3))</f>
        <v/>
      </c>
      <c r="G143" s="11" t="str">
        <f>TRIM(MID($A143,G$3,G$4-G$3))</f>
        <v/>
      </c>
      <c r="H143" s="11" t="str">
        <f>TRIM(MID($A143,H$3,H$4-H$3))</f>
        <v/>
      </c>
      <c r="I143" s="11" t="str">
        <f>TRIM(MID($A143,I$3,I$4-I$3))</f>
        <v/>
      </c>
      <c r="J143" s="11" t="str">
        <f>TRIM(MID($A143,J$3,J$4-J$3))</f>
        <v/>
      </c>
      <c r="K143" s="11" t="str">
        <f>TRIM(MID($A143,K$3,K$4-K$3))</f>
        <v/>
      </c>
      <c r="L143" s="11" t="str">
        <f>TRIM(MID($A143,L$3,L$4-L$3))</f>
        <v/>
      </c>
      <c r="M143" s="6" t="str">
        <f>TRIM(MID($A143,M$3,M$4-M$3))</f>
        <v/>
      </c>
    </row>
    <row r="144" spans="1:13" x14ac:dyDescent="0.4">
      <c r="A144" s="10"/>
      <c r="B144" s="7"/>
      <c r="C144" s="6" t="str">
        <f>TRIM(MID($A144,C$3,C$4-C$3))</f>
        <v/>
      </c>
      <c r="D144" s="6" t="str">
        <f>TRIM(MID($A144,D$3,D$4-D$3))</f>
        <v/>
      </c>
      <c r="E144" s="6" t="str">
        <f>TRIM(MID($A144,E$3,E$4-E$3))</f>
        <v/>
      </c>
      <c r="F144" s="11" t="str">
        <f>TRIM(MID($A144,F$3,F$4-F$3))</f>
        <v/>
      </c>
      <c r="G144" s="11" t="str">
        <f>TRIM(MID($A144,G$3,G$4-G$3))</f>
        <v/>
      </c>
      <c r="H144" s="11" t="str">
        <f>TRIM(MID($A144,H$3,H$4-H$3))</f>
        <v/>
      </c>
      <c r="I144" s="11" t="str">
        <f>TRIM(MID($A144,I$3,I$4-I$3))</f>
        <v/>
      </c>
      <c r="J144" s="11" t="str">
        <f>TRIM(MID($A144,J$3,J$4-J$3))</f>
        <v/>
      </c>
      <c r="K144" s="11" t="str">
        <f>TRIM(MID($A144,K$3,K$4-K$3))</f>
        <v/>
      </c>
      <c r="L144" s="11" t="str">
        <f>TRIM(MID($A144,L$3,L$4-L$3))</f>
        <v/>
      </c>
      <c r="M144" s="6" t="str">
        <f>TRIM(MID($A144,M$3,M$4-M$3))</f>
        <v/>
      </c>
    </row>
    <row r="145" spans="1:13" x14ac:dyDescent="0.4">
      <c r="A145" s="10"/>
      <c r="B145" s="7"/>
      <c r="C145" s="6" t="str">
        <f>TRIM(MID($A145,C$3,C$4-C$3))</f>
        <v/>
      </c>
      <c r="D145" s="6" t="str">
        <f>TRIM(MID($A145,D$3,D$4-D$3))</f>
        <v/>
      </c>
      <c r="E145" s="6" t="str">
        <f>TRIM(MID($A145,E$3,E$4-E$3))</f>
        <v/>
      </c>
      <c r="F145" s="11" t="str">
        <f>TRIM(MID($A145,F$3,F$4-F$3))</f>
        <v/>
      </c>
      <c r="G145" s="11" t="str">
        <f>TRIM(MID($A145,G$3,G$4-G$3))</f>
        <v/>
      </c>
      <c r="H145" s="11" t="str">
        <f>TRIM(MID($A145,H$3,H$4-H$3))</f>
        <v/>
      </c>
      <c r="I145" s="11" t="str">
        <f>TRIM(MID($A145,I$3,I$4-I$3))</f>
        <v/>
      </c>
      <c r="J145" s="11" t="str">
        <f>TRIM(MID($A145,J$3,J$4-J$3))</f>
        <v/>
      </c>
      <c r="K145" s="11" t="str">
        <f>TRIM(MID($A145,K$3,K$4-K$3))</f>
        <v/>
      </c>
      <c r="L145" s="11" t="str">
        <f>TRIM(MID($A145,L$3,L$4-L$3))</f>
        <v/>
      </c>
      <c r="M145" s="6" t="str">
        <f>TRIM(MID($A145,M$3,M$4-M$3))</f>
        <v/>
      </c>
    </row>
    <row r="146" spans="1:13" x14ac:dyDescent="0.4">
      <c r="A146" s="10"/>
      <c r="B146" s="7"/>
      <c r="C146" s="6" t="str">
        <f>TRIM(MID($A146,C$3,C$4-C$3))</f>
        <v/>
      </c>
      <c r="D146" s="6" t="str">
        <f>TRIM(MID($A146,D$3,D$4-D$3))</f>
        <v/>
      </c>
      <c r="E146" s="6" t="str">
        <f>TRIM(MID($A146,E$3,E$4-E$3))</f>
        <v/>
      </c>
      <c r="F146" s="11" t="str">
        <f>TRIM(MID($A146,F$3,F$4-F$3))</f>
        <v/>
      </c>
      <c r="G146" s="11" t="str">
        <f>TRIM(MID($A146,G$3,G$4-G$3))</f>
        <v/>
      </c>
      <c r="H146" s="11" t="str">
        <f>TRIM(MID($A146,H$3,H$4-H$3))</f>
        <v/>
      </c>
      <c r="I146" s="11" t="str">
        <f>TRIM(MID($A146,I$3,I$4-I$3))</f>
        <v/>
      </c>
      <c r="J146" s="11" t="str">
        <f>TRIM(MID($A146,J$3,J$4-J$3))</f>
        <v/>
      </c>
      <c r="K146" s="11" t="str">
        <f>TRIM(MID($A146,K$3,K$4-K$3))</f>
        <v/>
      </c>
      <c r="L146" s="11" t="str">
        <f>TRIM(MID($A146,L$3,L$4-L$3))</f>
        <v/>
      </c>
      <c r="M146" s="6" t="str">
        <f>TRIM(MID($A146,M$3,M$4-M$3))</f>
        <v/>
      </c>
    </row>
    <row r="147" spans="1:13" x14ac:dyDescent="0.4">
      <c r="A147" s="10"/>
      <c r="B147" s="7"/>
      <c r="C147" s="6" t="str">
        <f>TRIM(MID($A147,C$3,C$4-C$3))</f>
        <v/>
      </c>
      <c r="D147" s="6" t="str">
        <f>TRIM(MID($A147,D$3,D$4-D$3))</f>
        <v/>
      </c>
      <c r="E147" s="6" t="str">
        <f>TRIM(MID($A147,E$3,E$4-E$3))</f>
        <v/>
      </c>
      <c r="F147" s="11" t="str">
        <f>TRIM(MID($A147,F$3,F$4-F$3))</f>
        <v/>
      </c>
      <c r="G147" s="11" t="str">
        <f>TRIM(MID($A147,G$3,G$4-G$3))</f>
        <v/>
      </c>
      <c r="H147" s="11" t="str">
        <f>TRIM(MID($A147,H$3,H$4-H$3))</f>
        <v/>
      </c>
      <c r="I147" s="11" t="str">
        <f>TRIM(MID($A147,I$3,I$4-I$3))</f>
        <v/>
      </c>
      <c r="J147" s="11" t="str">
        <f>TRIM(MID($A147,J$3,J$4-J$3))</f>
        <v/>
      </c>
      <c r="K147" s="11" t="str">
        <f>TRIM(MID($A147,K$3,K$4-K$3))</f>
        <v/>
      </c>
      <c r="L147" s="11" t="str">
        <f>TRIM(MID($A147,L$3,L$4-L$3))</f>
        <v/>
      </c>
      <c r="M147" s="6" t="str">
        <f>TRIM(MID($A147,M$3,M$4-M$3))</f>
        <v/>
      </c>
    </row>
    <row r="148" spans="1:13" x14ac:dyDescent="0.4">
      <c r="A148" s="10"/>
      <c r="B148" s="7"/>
      <c r="C148" s="6" t="str">
        <f>TRIM(MID($A148,C$3,C$4-C$3))</f>
        <v/>
      </c>
      <c r="D148" s="6" t="str">
        <f>TRIM(MID($A148,D$3,D$4-D$3))</f>
        <v/>
      </c>
      <c r="E148" s="6" t="str">
        <f>TRIM(MID($A148,E$3,E$4-E$3))</f>
        <v/>
      </c>
      <c r="F148" s="11" t="str">
        <f>TRIM(MID($A148,F$3,F$4-F$3))</f>
        <v/>
      </c>
      <c r="G148" s="11" t="str">
        <f>TRIM(MID($A148,G$3,G$4-G$3))</f>
        <v/>
      </c>
      <c r="H148" s="11" t="str">
        <f>TRIM(MID($A148,H$3,H$4-H$3))</f>
        <v/>
      </c>
      <c r="I148" s="11" t="str">
        <f>TRIM(MID($A148,I$3,I$4-I$3))</f>
        <v/>
      </c>
      <c r="J148" s="11" t="str">
        <f>TRIM(MID($A148,J$3,J$4-J$3))</f>
        <v/>
      </c>
      <c r="K148" s="11" t="str">
        <f>TRIM(MID($A148,K$3,K$4-K$3))</f>
        <v/>
      </c>
      <c r="L148" s="11" t="str">
        <f>TRIM(MID($A148,L$3,L$4-L$3))</f>
        <v/>
      </c>
      <c r="M148" s="6" t="str">
        <f>TRIM(MID($A148,M$3,M$4-M$3))</f>
        <v/>
      </c>
    </row>
    <row r="149" spans="1:13" x14ac:dyDescent="0.4">
      <c r="A149" s="10"/>
      <c r="B149" s="7"/>
      <c r="C149" s="6" t="str">
        <f>TRIM(MID($A149,C$3,C$4-C$3))</f>
        <v/>
      </c>
      <c r="D149" s="6" t="str">
        <f>TRIM(MID($A149,D$3,D$4-D$3))</f>
        <v/>
      </c>
      <c r="E149" s="6" t="str">
        <f>TRIM(MID($A149,E$3,E$4-E$3))</f>
        <v/>
      </c>
      <c r="F149" s="11" t="str">
        <f>TRIM(MID($A149,F$3,F$4-F$3))</f>
        <v/>
      </c>
      <c r="G149" s="11" t="str">
        <f>TRIM(MID($A149,G$3,G$4-G$3))</f>
        <v/>
      </c>
      <c r="H149" s="11" t="str">
        <f>TRIM(MID($A149,H$3,H$4-H$3))</f>
        <v/>
      </c>
      <c r="I149" s="11" t="str">
        <f>TRIM(MID($A149,I$3,I$4-I$3))</f>
        <v/>
      </c>
      <c r="J149" s="11" t="str">
        <f>TRIM(MID($A149,J$3,J$4-J$3))</f>
        <v/>
      </c>
      <c r="K149" s="11" t="str">
        <f>TRIM(MID($A149,K$3,K$4-K$3))</f>
        <v/>
      </c>
      <c r="L149" s="11" t="str">
        <f>TRIM(MID($A149,L$3,L$4-L$3))</f>
        <v/>
      </c>
      <c r="M149" s="6" t="str">
        <f>TRIM(MID($A149,M$3,M$4-M$3))</f>
        <v/>
      </c>
    </row>
    <row r="150" spans="1:13" x14ac:dyDescent="0.4">
      <c r="A150" s="10"/>
      <c r="B150" s="7"/>
      <c r="C150" s="6" t="str">
        <f>TRIM(MID($A150,C$3,C$4-C$3))</f>
        <v/>
      </c>
      <c r="D150" s="6" t="str">
        <f>TRIM(MID($A150,D$3,D$4-D$3))</f>
        <v/>
      </c>
      <c r="E150" s="6" t="str">
        <f>TRIM(MID($A150,E$3,E$4-E$3))</f>
        <v/>
      </c>
      <c r="F150" s="11" t="str">
        <f>TRIM(MID($A150,F$3,F$4-F$3))</f>
        <v/>
      </c>
      <c r="G150" s="11" t="str">
        <f>TRIM(MID($A150,G$3,G$4-G$3))</f>
        <v/>
      </c>
      <c r="H150" s="11" t="str">
        <f>TRIM(MID($A150,H$3,H$4-H$3))</f>
        <v/>
      </c>
      <c r="I150" s="11" t="str">
        <f>TRIM(MID($A150,I$3,I$4-I$3))</f>
        <v/>
      </c>
      <c r="J150" s="11" t="str">
        <f>TRIM(MID($A150,J$3,J$4-J$3))</f>
        <v/>
      </c>
      <c r="K150" s="11" t="str">
        <f>TRIM(MID($A150,K$3,K$4-K$3))</f>
        <v/>
      </c>
      <c r="L150" s="11" t="str">
        <f>TRIM(MID($A150,L$3,L$4-L$3))</f>
        <v/>
      </c>
      <c r="M150" s="6" t="str">
        <f>TRIM(MID($A150,M$3,M$4-M$3))</f>
        <v/>
      </c>
    </row>
    <row r="151" spans="1:13" x14ac:dyDescent="0.4">
      <c r="A151" s="10"/>
      <c r="B151" s="7"/>
      <c r="C151" s="6" t="str">
        <f>TRIM(MID($A151,C$3,C$4-C$3))</f>
        <v/>
      </c>
      <c r="D151" s="6" t="str">
        <f>TRIM(MID($A151,D$3,D$4-D$3))</f>
        <v/>
      </c>
      <c r="E151" s="6" t="str">
        <f>TRIM(MID($A151,E$3,E$4-E$3))</f>
        <v/>
      </c>
      <c r="F151" s="11" t="str">
        <f>TRIM(MID($A151,F$3,F$4-F$3))</f>
        <v/>
      </c>
      <c r="G151" s="11" t="str">
        <f>TRIM(MID($A151,G$3,G$4-G$3))</f>
        <v/>
      </c>
      <c r="H151" s="11" t="str">
        <f>TRIM(MID($A151,H$3,H$4-H$3))</f>
        <v/>
      </c>
      <c r="I151" s="11" t="str">
        <f>TRIM(MID($A151,I$3,I$4-I$3))</f>
        <v/>
      </c>
      <c r="J151" s="11" t="str">
        <f>TRIM(MID($A151,J$3,J$4-J$3))</f>
        <v/>
      </c>
      <c r="K151" s="11" t="str">
        <f>TRIM(MID($A151,K$3,K$4-K$3))</f>
        <v/>
      </c>
      <c r="L151" s="11" t="str">
        <f>TRIM(MID($A151,L$3,L$4-L$3))</f>
        <v/>
      </c>
      <c r="M151" s="6" t="str">
        <f>TRIM(MID($A151,M$3,M$4-M$3))</f>
        <v/>
      </c>
    </row>
    <row r="152" spans="1:13" x14ac:dyDescent="0.4">
      <c r="A152" s="10"/>
      <c r="B152" s="7"/>
      <c r="C152" s="6" t="str">
        <f>TRIM(MID($A152,C$3,C$4-C$3))</f>
        <v/>
      </c>
      <c r="D152" s="6" t="str">
        <f>TRIM(MID($A152,D$3,D$4-D$3))</f>
        <v/>
      </c>
      <c r="E152" s="6" t="str">
        <f>TRIM(MID($A152,E$3,E$4-E$3))</f>
        <v/>
      </c>
      <c r="F152" s="11" t="str">
        <f>TRIM(MID($A152,F$3,F$4-F$3))</f>
        <v/>
      </c>
      <c r="G152" s="11" t="str">
        <f>TRIM(MID($A152,G$3,G$4-G$3))</f>
        <v/>
      </c>
      <c r="H152" s="11" t="str">
        <f>TRIM(MID($A152,H$3,H$4-H$3))</f>
        <v/>
      </c>
      <c r="I152" s="11" t="str">
        <f>TRIM(MID($A152,I$3,I$4-I$3))</f>
        <v/>
      </c>
      <c r="J152" s="11" t="str">
        <f>TRIM(MID($A152,J$3,J$4-J$3))</f>
        <v/>
      </c>
      <c r="K152" s="11" t="str">
        <f>TRIM(MID($A152,K$3,K$4-K$3))</f>
        <v/>
      </c>
      <c r="L152" s="11" t="str">
        <f>TRIM(MID($A152,L$3,L$4-L$3))</f>
        <v/>
      </c>
      <c r="M152" s="6" t="str">
        <f>TRIM(MID($A152,M$3,M$4-M$3))</f>
        <v/>
      </c>
    </row>
    <row r="153" spans="1:13" x14ac:dyDescent="0.4">
      <c r="A153" s="10"/>
      <c r="B153" s="7"/>
      <c r="C153" s="6" t="str">
        <f>TRIM(MID($A153,C$3,C$4-C$3))</f>
        <v/>
      </c>
      <c r="D153" s="6" t="str">
        <f>TRIM(MID($A153,D$3,D$4-D$3))</f>
        <v/>
      </c>
      <c r="E153" s="6" t="str">
        <f>TRIM(MID($A153,E$3,E$4-E$3))</f>
        <v/>
      </c>
      <c r="F153" s="11" t="str">
        <f>TRIM(MID($A153,F$3,F$4-F$3))</f>
        <v/>
      </c>
      <c r="G153" s="11" t="str">
        <f>TRIM(MID($A153,G$3,G$4-G$3))</f>
        <v/>
      </c>
      <c r="H153" s="11" t="str">
        <f>TRIM(MID($A153,H$3,H$4-H$3))</f>
        <v/>
      </c>
      <c r="I153" s="11" t="str">
        <f>TRIM(MID($A153,I$3,I$4-I$3))</f>
        <v/>
      </c>
      <c r="J153" s="11" t="str">
        <f>TRIM(MID($A153,J$3,J$4-J$3))</f>
        <v/>
      </c>
      <c r="K153" s="11" t="str">
        <f>TRIM(MID($A153,K$3,K$4-K$3))</f>
        <v/>
      </c>
      <c r="L153" s="11" t="str">
        <f>TRIM(MID($A153,L$3,L$4-L$3))</f>
        <v/>
      </c>
      <c r="M153" s="6" t="str">
        <f>TRIM(MID($A153,M$3,M$4-M$3))</f>
        <v/>
      </c>
    </row>
    <row r="154" spans="1:13" x14ac:dyDescent="0.4">
      <c r="A154" s="10"/>
      <c r="B154" s="7"/>
      <c r="C154" s="6" t="str">
        <f>TRIM(MID($A154,C$3,C$4-C$3))</f>
        <v/>
      </c>
      <c r="D154" s="6" t="str">
        <f>TRIM(MID($A154,D$3,D$4-D$3))</f>
        <v/>
      </c>
      <c r="E154" s="6" t="str">
        <f>TRIM(MID($A154,E$3,E$4-E$3))</f>
        <v/>
      </c>
      <c r="F154" s="11" t="str">
        <f>TRIM(MID($A154,F$3,F$4-F$3))</f>
        <v/>
      </c>
      <c r="G154" s="11" t="str">
        <f>TRIM(MID($A154,G$3,G$4-G$3))</f>
        <v/>
      </c>
      <c r="H154" s="11" t="str">
        <f>TRIM(MID($A154,H$3,H$4-H$3))</f>
        <v/>
      </c>
      <c r="I154" s="11" t="str">
        <f>TRIM(MID($A154,I$3,I$4-I$3))</f>
        <v/>
      </c>
      <c r="J154" s="11" t="str">
        <f>TRIM(MID($A154,J$3,J$4-J$3))</f>
        <v/>
      </c>
      <c r="K154" s="11" t="str">
        <f>TRIM(MID($A154,K$3,K$4-K$3))</f>
        <v/>
      </c>
      <c r="L154" s="11" t="str">
        <f>TRIM(MID($A154,L$3,L$4-L$3))</f>
        <v/>
      </c>
      <c r="M154" s="6" t="str">
        <f>TRIM(MID($A154,M$3,M$4-M$3))</f>
        <v/>
      </c>
    </row>
    <row r="155" spans="1:13" x14ac:dyDescent="0.4">
      <c r="A155" s="10"/>
      <c r="B155" s="7"/>
      <c r="C155" s="6" t="str">
        <f>TRIM(MID($A155,C$3,C$4-C$3))</f>
        <v/>
      </c>
      <c r="D155" s="6" t="str">
        <f>TRIM(MID($A155,D$3,D$4-D$3))</f>
        <v/>
      </c>
      <c r="E155" s="6" t="str">
        <f>TRIM(MID($A155,E$3,E$4-E$3))</f>
        <v/>
      </c>
      <c r="F155" s="11" t="str">
        <f>TRIM(MID($A155,F$3,F$4-F$3))</f>
        <v/>
      </c>
      <c r="G155" s="11" t="str">
        <f>TRIM(MID($A155,G$3,G$4-G$3))</f>
        <v/>
      </c>
      <c r="H155" s="11" t="str">
        <f>TRIM(MID($A155,H$3,H$4-H$3))</f>
        <v/>
      </c>
      <c r="I155" s="11" t="str">
        <f>TRIM(MID($A155,I$3,I$4-I$3))</f>
        <v/>
      </c>
      <c r="J155" s="11" t="str">
        <f>TRIM(MID($A155,J$3,J$4-J$3))</f>
        <v/>
      </c>
      <c r="K155" s="11" t="str">
        <f>TRIM(MID($A155,K$3,K$4-K$3))</f>
        <v/>
      </c>
      <c r="L155" s="11" t="str">
        <f>TRIM(MID($A155,L$3,L$4-L$3))</f>
        <v/>
      </c>
      <c r="M155" s="6" t="str">
        <f>TRIM(MID($A155,M$3,M$4-M$3))</f>
        <v/>
      </c>
    </row>
    <row r="156" spans="1:13" x14ac:dyDescent="0.4">
      <c r="A156" s="10"/>
      <c r="B156" s="7"/>
      <c r="C156" s="6" t="str">
        <f>TRIM(MID($A156,C$3,C$4-C$3))</f>
        <v/>
      </c>
      <c r="D156" s="6" t="str">
        <f>TRIM(MID($A156,D$3,D$4-D$3))</f>
        <v/>
      </c>
      <c r="E156" s="6" t="str">
        <f>TRIM(MID($A156,E$3,E$4-E$3))</f>
        <v/>
      </c>
      <c r="F156" s="11" t="str">
        <f>TRIM(MID($A156,F$3,F$4-F$3))</f>
        <v/>
      </c>
      <c r="G156" s="11" t="str">
        <f>TRIM(MID($A156,G$3,G$4-G$3))</f>
        <v/>
      </c>
      <c r="H156" s="11" t="str">
        <f>TRIM(MID($A156,H$3,H$4-H$3))</f>
        <v/>
      </c>
      <c r="I156" s="11" t="str">
        <f>TRIM(MID($A156,I$3,I$4-I$3))</f>
        <v/>
      </c>
      <c r="J156" s="11" t="str">
        <f>TRIM(MID($A156,J$3,J$4-J$3))</f>
        <v/>
      </c>
      <c r="K156" s="11" t="str">
        <f>TRIM(MID($A156,K$3,K$4-K$3))</f>
        <v/>
      </c>
      <c r="L156" s="11" t="str">
        <f>TRIM(MID($A156,L$3,L$4-L$3))</f>
        <v/>
      </c>
      <c r="M156" s="6" t="str">
        <f>TRIM(MID($A156,M$3,M$4-M$3))</f>
        <v/>
      </c>
    </row>
    <row r="157" spans="1:13" x14ac:dyDescent="0.4">
      <c r="A157" s="10"/>
      <c r="B157" s="7"/>
      <c r="C157" s="6" t="str">
        <f>TRIM(MID($A157,C$3,C$4-C$3))</f>
        <v/>
      </c>
      <c r="D157" s="6" t="str">
        <f>TRIM(MID($A157,D$3,D$4-D$3))</f>
        <v/>
      </c>
      <c r="E157" s="6" t="str">
        <f>TRIM(MID($A157,E$3,E$4-E$3))</f>
        <v/>
      </c>
      <c r="F157" s="11" t="str">
        <f>TRIM(MID($A157,F$3,F$4-F$3))</f>
        <v/>
      </c>
      <c r="G157" s="11" t="str">
        <f>TRIM(MID($A157,G$3,G$4-G$3))</f>
        <v/>
      </c>
      <c r="H157" s="11" t="str">
        <f>TRIM(MID($A157,H$3,H$4-H$3))</f>
        <v/>
      </c>
      <c r="I157" s="11" t="str">
        <f>TRIM(MID($A157,I$3,I$4-I$3))</f>
        <v/>
      </c>
      <c r="J157" s="11" t="str">
        <f>TRIM(MID($A157,J$3,J$4-J$3))</f>
        <v/>
      </c>
      <c r="K157" s="11" t="str">
        <f>TRIM(MID($A157,K$3,K$4-K$3))</f>
        <v/>
      </c>
      <c r="L157" s="11" t="str">
        <f>TRIM(MID($A157,L$3,L$4-L$3))</f>
        <v/>
      </c>
      <c r="M157" s="6" t="str">
        <f>TRIM(MID($A157,M$3,M$4-M$3))</f>
        <v/>
      </c>
    </row>
    <row r="158" spans="1:13" x14ac:dyDescent="0.4">
      <c r="A158" s="10"/>
      <c r="B158" s="7"/>
      <c r="C158" s="6" t="str">
        <f>TRIM(MID($A158,C$3,C$4-C$3))</f>
        <v/>
      </c>
      <c r="D158" s="6" t="str">
        <f>TRIM(MID($A158,D$3,D$4-D$3))</f>
        <v/>
      </c>
      <c r="E158" s="6" t="str">
        <f>TRIM(MID($A158,E$3,E$4-E$3))</f>
        <v/>
      </c>
      <c r="F158" s="11" t="str">
        <f>TRIM(MID($A158,F$3,F$4-F$3))</f>
        <v/>
      </c>
      <c r="G158" s="11" t="str">
        <f>TRIM(MID($A158,G$3,G$4-G$3))</f>
        <v/>
      </c>
      <c r="H158" s="11" t="str">
        <f>TRIM(MID($A158,H$3,H$4-H$3))</f>
        <v/>
      </c>
      <c r="I158" s="11" t="str">
        <f>TRIM(MID($A158,I$3,I$4-I$3))</f>
        <v/>
      </c>
      <c r="J158" s="11" t="str">
        <f>TRIM(MID($A158,J$3,J$4-J$3))</f>
        <v/>
      </c>
      <c r="K158" s="11" t="str">
        <f>TRIM(MID($A158,K$3,K$4-K$3))</f>
        <v/>
      </c>
      <c r="L158" s="11" t="str">
        <f>TRIM(MID($A158,L$3,L$4-L$3))</f>
        <v/>
      </c>
      <c r="M158" s="6" t="str">
        <f>TRIM(MID($A158,M$3,M$4-M$3))</f>
        <v/>
      </c>
    </row>
    <row r="159" spans="1:13" x14ac:dyDescent="0.4">
      <c r="A159" s="10"/>
      <c r="B159" s="7"/>
      <c r="C159" s="6" t="str">
        <f>TRIM(MID($A159,C$3,C$4-C$3))</f>
        <v/>
      </c>
      <c r="D159" s="6" t="str">
        <f>TRIM(MID($A159,D$3,D$4-D$3))</f>
        <v/>
      </c>
      <c r="E159" s="6" t="str">
        <f>TRIM(MID($A159,E$3,E$4-E$3))</f>
        <v/>
      </c>
      <c r="F159" s="11" t="str">
        <f>TRIM(MID($A159,F$3,F$4-F$3))</f>
        <v/>
      </c>
      <c r="G159" s="11" t="str">
        <f>TRIM(MID($A159,G$3,G$4-G$3))</f>
        <v/>
      </c>
      <c r="H159" s="11" t="str">
        <f>TRIM(MID($A159,H$3,H$4-H$3))</f>
        <v/>
      </c>
      <c r="I159" s="11" t="str">
        <f>TRIM(MID($A159,I$3,I$4-I$3))</f>
        <v/>
      </c>
      <c r="J159" s="11" t="str">
        <f>TRIM(MID($A159,J$3,J$4-J$3))</f>
        <v/>
      </c>
      <c r="K159" s="11" t="str">
        <f>TRIM(MID($A159,K$3,K$4-K$3))</f>
        <v/>
      </c>
      <c r="L159" s="11" t="str">
        <f>TRIM(MID($A159,L$3,L$4-L$3))</f>
        <v/>
      </c>
      <c r="M159" s="6" t="str">
        <f>TRIM(MID($A159,M$3,M$4-M$3))</f>
        <v/>
      </c>
    </row>
    <row r="160" spans="1:13" x14ac:dyDescent="0.4">
      <c r="A160" s="10"/>
      <c r="B160" s="7"/>
      <c r="C160" s="6" t="str">
        <f>TRIM(MID($A160,C$3,C$4-C$3))</f>
        <v/>
      </c>
      <c r="D160" s="6" t="str">
        <f>TRIM(MID($A160,D$3,D$4-D$3))</f>
        <v/>
      </c>
      <c r="E160" s="6" t="str">
        <f>TRIM(MID($A160,E$3,E$4-E$3))</f>
        <v/>
      </c>
      <c r="F160" s="11" t="str">
        <f>TRIM(MID($A160,F$3,F$4-F$3))</f>
        <v/>
      </c>
      <c r="G160" s="11" t="str">
        <f>TRIM(MID($A160,G$3,G$4-G$3))</f>
        <v/>
      </c>
      <c r="H160" s="11" t="str">
        <f>TRIM(MID($A160,H$3,H$4-H$3))</f>
        <v/>
      </c>
      <c r="I160" s="11" t="str">
        <f>TRIM(MID($A160,I$3,I$4-I$3))</f>
        <v/>
      </c>
      <c r="J160" s="11" t="str">
        <f>TRIM(MID($A160,J$3,J$4-J$3))</f>
        <v/>
      </c>
      <c r="K160" s="11" t="str">
        <f>TRIM(MID($A160,K$3,K$4-K$3))</f>
        <v/>
      </c>
      <c r="L160" s="11" t="str">
        <f>TRIM(MID($A160,L$3,L$4-L$3))</f>
        <v/>
      </c>
      <c r="M160" s="6" t="str">
        <f>TRIM(MID($A160,M$3,M$4-M$3))</f>
        <v/>
      </c>
    </row>
    <row r="161" spans="1:13" x14ac:dyDescent="0.4">
      <c r="A161" s="10"/>
      <c r="B161" s="7"/>
      <c r="C161" s="6" t="str">
        <f>TRIM(MID($A161,C$3,C$4-C$3))</f>
        <v/>
      </c>
      <c r="D161" s="6" t="str">
        <f>TRIM(MID($A161,D$3,D$4-D$3))</f>
        <v/>
      </c>
      <c r="E161" s="6" t="str">
        <f>TRIM(MID($A161,E$3,E$4-E$3))</f>
        <v/>
      </c>
      <c r="F161" s="11" t="str">
        <f>TRIM(MID($A161,F$3,F$4-F$3))</f>
        <v/>
      </c>
      <c r="G161" s="11" t="str">
        <f>TRIM(MID($A161,G$3,G$4-G$3))</f>
        <v/>
      </c>
      <c r="H161" s="11" t="str">
        <f>TRIM(MID($A161,H$3,H$4-H$3))</f>
        <v/>
      </c>
      <c r="I161" s="11" t="str">
        <f>TRIM(MID($A161,I$3,I$4-I$3))</f>
        <v/>
      </c>
      <c r="J161" s="11" t="str">
        <f>TRIM(MID($A161,J$3,J$4-J$3))</f>
        <v/>
      </c>
      <c r="K161" s="11" t="str">
        <f>TRIM(MID($A161,K$3,K$4-K$3))</f>
        <v/>
      </c>
      <c r="L161" s="11" t="str">
        <f>TRIM(MID($A161,L$3,L$4-L$3))</f>
        <v/>
      </c>
      <c r="M161" s="6" t="str">
        <f>TRIM(MID($A161,M$3,M$4-M$3))</f>
        <v/>
      </c>
    </row>
    <row r="162" spans="1:13" x14ac:dyDescent="0.4">
      <c r="A162" s="10"/>
      <c r="B162" s="7"/>
      <c r="C162" s="6" t="str">
        <f>TRIM(MID($A162,C$3,C$4-C$3))</f>
        <v/>
      </c>
      <c r="D162" s="6" t="str">
        <f>TRIM(MID($A162,D$3,D$4-D$3))</f>
        <v/>
      </c>
      <c r="E162" s="6" t="str">
        <f>TRIM(MID($A162,E$3,E$4-E$3))</f>
        <v/>
      </c>
      <c r="F162" s="11" t="str">
        <f>TRIM(MID($A162,F$3,F$4-F$3))</f>
        <v/>
      </c>
      <c r="G162" s="11" t="str">
        <f>TRIM(MID($A162,G$3,G$4-G$3))</f>
        <v/>
      </c>
      <c r="H162" s="11" t="str">
        <f>TRIM(MID($A162,H$3,H$4-H$3))</f>
        <v/>
      </c>
      <c r="I162" s="11" t="str">
        <f>TRIM(MID($A162,I$3,I$4-I$3))</f>
        <v/>
      </c>
      <c r="J162" s="11" t="str">
        <f>TRIM(MID($A162,J$3,J$4-J$3))</f>
        <v/>
      </c>
      <c r="K162" s="11" t="str">
        <f>TRIM(MID($A162,K$3,K$4-K$3))</f>
        <v/>
      </c>
      <c r="L162" s="11" t="str">
        <f>TRIM(MID($A162,L$3,L$4-L$3))</f>
        <v/>
      </c>
      <c r="M162" s="6" t="str">
        <f>TRIM(MID($A162,M$3,M$4-M$3))</f>
        <v/>
      </c>
    </row>
    <row r="163" spans="1:13" x14ac:dyDescent="0.4">
      <c r="A163" s="10"/>
      <c r="B163" s="7"/>
      <c r="C163" s="6" t="str">
        <f>TRIM(MID($A163,C$3,C$4-C$3))</f>
        <v/>
      </c>
      <c r="D163" s="6" t="str">
        <f>TRIM(MID($A163,D$3,D$4-D$3))</f>
        <v/>
      </c>
      <c r="E163" s="6" t="str">
        <f>TRIM(MID($A163,E$3,E$4-E$3))</f>
        <v/>
      </c>
      <c r="F163" s="11" t="str">
        <f>TRIM(MID($A163,F$3,F$4-F$3))</f>
        <v/>
      </c>
      <c r="G163" s="11" t="str">
        <f>TRIM(MID($A163,G$3,G$4-G$3))</f>
        <v/>
      </c>
      <c r="H163" s="11" t="str">
        <f>TRIM(MID($A163,H$3,H$4-H$3))</f>
        <v/>
      </c>
      <c r="I163" s="11" t="str">
        <f>TRIM(MID($A163,I$3,I$4-I$3))</f>
        <v/>
      </c>
      <c r="J163" s="11" t="str">
        <f>TRIM(MID($A163,J$3,J$4-J$3))</f>
        <v/>
      </c>
      <c r="K163" s="11" t="str">
        <f>TRIM(MID($A163,K$3,K$4-K$3))</f>
        <v/>
      </c>
      <c r="L163" s="11" t="str">
        <f>TRIM(MID($A163,L$3,L$4-L$3))</f>
        <v/>
      </c>
      <c r="M163" s="6" t="str">
        <f>TRIM(MID($A163,M$3,M$4-M$3))</f>
        <v/>
      </c>
    </row>
    <row r="164" spans="1:13" x14ac:dyDescent="0.4">
      <c r="A164" s="10"/>
      <c r="B164" s="7"/>
      <c r="C164" s="6" t="str">
        <f>TRIM(MID($A164,C$3,C$4-C$3))</f>
        <v/>
      </c>
      <c r="D164" s="6" t="str">
        <f>TRIM(MID($A164,D$3,D$4-D$3))</f>
        <v/>
      </c>
      <c r="E164" s="6" t="str">
        <f>TRIM(MID($A164,E$3,E$4-E$3))</f>
        <v/>
      </c>
      <c r="F164" s="11" t="str">
        <f>TRIM(MID($A164,F$3,F$4-F$3))</f>
        <v/>
      </c>
      <c r="G164" s="11" t="str">
        <f>TRIM(MID($A164,G$3,G$4-G$3))</f>
        <v/>
      </c>
      <c r="H164" s="11" t="str">
        <f>TRIM(MID($A164,H$3,H$4-H$3))</f>
        <v/>
      </c>
      <c r="I164" s="11" t="str">
        <f>TRIM(MID($A164,I$3,I$4-I$3))</f>
        <v/>
      </c>
      <c r="J164" s="11" t="str">
        <f>TRIM(MID($A164,J$3,J$4-J$3))</f>
        <v/>
      </c>
      <c r="K164" s="11" t="str">
        <f>TRIM(MID($A164,K$3,K$4-K$3))</f>
        <v/>
      </c>
      <c r="L164" s="11" t="str">
        <f>TRIM(MID($A164,L$3,L$4-L$3))</f>
        <v/>
      </c>
      <c r="M164" s="6" t="str">
        <f>TRIM(MID($A164,M$3,M$4-M$3))</f>
        <v/>
      </c>
    </row>
    <row r="165" spans="1:13" x14ac:dyDescent="0.4">
      <c r="A165" s="10"/>
      <c r="B165" s="7"/>
      <c r="C165" s="6" t="str">
        <f>TRIM(MID($A165,C$3,C$4-C$3))</f>
        <v/>
      </c>
      <c r="D165" s="6" t="str">
        <f>TRIM(MID($A165,D$3,D$4-D$3))</f>
        <v/>
      </c>
      <c r="E165" s="6" t="str">
        <f>TRIM(MID($A165,E$3,E$4-E$3))</f>
        <v/>
      </c>
      <c r="F165" s="11" t="str">
        <f>TRIM(MID($A165,F$3,F$4-F$3))</f>
        <v/>
      </c>
      <c r="G165" s="11" t="str">
        <f>TRIM(MID($A165,G$3,G$4-G$3))</f>
        <v/>
      </c>
      <c r="H165" s="11" t="str">
        <f>TRIM(MID($A165,H$3,H$4-H$3))</f>
        <v/>
      </c>
      <c r="I165" s="11" t="str">
        <f>TRIM(MID($A165,I$3,I$4-I$3))</f>
        <v/>
      </c>
      <c r="J165" s="11" t="str">
        <f>TRIM(MID($A165,J$3,J$4-J$3))</f>
        <v/>
      </c>
      <c r="K165" s="11" t="str">
        <f>TRIM(MID($A165,K$3,K$4-K$3))</f>
        <v/>
      </c>
      <c r="L165" s="11" t="str">
        <f>TRIM(MID($A165,L$3,L$4-L$3))</f>
        <v/>
      </c>
      <c r="M165" s="6" t="str">
        <f>TRIM(MID($A165,M$3,M$4-M$3))</f>
        <v/>
      </c>
    </row>
    <row r="166" spans="1:13" x14ac:dyDescent="0.4">
      <c r="A166" s="10"/>
      <c r="B166" s="7"/>
      <c r="C166" s="6" t="str">
        <f>TRIM(MID($A166,C$3,C$4-C$3))</f>
        <v/>
      </c>
      <c r="D166" s="6" t="str">
        <f>TRIM(MID($A166,D$3,D$4-D$3))</f>
        <v/>
      </c>
      <c r="E166" s="6" t="str">
        <f>TRIM(MID($A166,E$3,E$4-E$3))</f>
        <v/>
      </c>
      <c r="F166" s="11" t="str">
        <f>TRIM(MID($A166,F$3,F$4-F$3))</f>
        <v/>
      </c>
      <c r="G166" s="11" t="str">
        <f>TRIM(MID($A166,G$3,G$4-G$3))</f>
        <v/>
      </c>
      <c r="H166" s="11" t="str">
        <f>TRIM(MID($A166,H$3,H$4-H$3))</f>
        <v/>
      </c>
      <c r="I166" s="11" t="str">
        <f>TRIM(MID($A166,I$3,I$4-I$3))</f>
        <v/>
      </c>
      <c r="J166" s="11" t="str">
        <f>TRIM(MID($A166,J$3,J$4-J$3))</f>
        <v/>
      </c>
      <c r="K166" s="11" t="str">
        <f>TRIM(MID($A166,K$3,K$4-K$3))</f>
        <v/>
      </c>
      <c r="L166" s="11" t="str">
        <f>TRIM(MID($A166,L$3,L$4-L$3))</f>
        <v/>
      </c>
      <c r="M166" s="6" t="str">
        <f>TRIM(MID($A166,M$3,M$4-M$3))</f>
        <v/>
      </c>
    </row>
    <row r="167" spans="1:13" x14ac:dyDescent="0.4">
      <c r="A167" s="10"/>
      <c r="B167" s="7"/>
      <c r="C167" s="6" t="str">
        <f>TRIM(MID($A167,C$3,C$4-C$3))</f>
        <v/>
      </c>
      <c r="D167" s="6" t="str">
        <f>TRIM(MID($A167,D$3,D$4-D$3))</f>
        <v/>
      </c>
      <c r="E167" s="6" t="str">
        <f>TRIM(MID($A167,E$3,E$4-E$3))</f>
        <v/>
      </c>
      <c r="F167" s="11" t="str">
        <f>TRIM(MID($A167,F$3,F$4-F$3))</f>
        <v/>
      </c>
      <c r="G167" s="11" t="str">
        <f>TRIM(MID($A167,G$3,G$4-G$3))</f>
        <v/>
      </c>
      <c r="H167" s="11" t="str">
        <f>TRIM(MID($A167,H$3,H$4-H$3))</f>
        <v/>
      </c>
      <c r="I167" s="11" t="str">
        <f>TRIM(MID($A167,I$3,I$4-I$3))</f>
        <v/>
      </c>
      <c r="J167" s="11" t="str">
        <f>TRIM(MID($A167,J$3,J$4-J$3))</f>
        <v/>
      </c>
      <c r="K167" s="11" t="str">
        <f>TRIM(MID($A167,K$3,K$4-K$3))</f>
        <v/>
      </c>
      <c r="L167" s="11" t="str">
        <f>TRIM(MID($A167,L$3,L$4-L$3))</f>
        <v/>
      </c>
      <c r="M167" s="6" t="str">
        <f>TRIM(MID($A167,M$3,M$4-M$3))</f>
        <v/>
      </c>
    </row>
    <row r="168" spans="1:13" x14ac:dyDescent="0.4">
      <c r="A168" s="10"/>
      <c r="B168" s="7"/>
      <c r="C168" s="6" t="str">
        <f>TRIM(MID($A168,C$3,C$4-C$3))</f>
        <v/>
      </c>
      <c r="D168" s="6" t="str">
        <f>TRIM(MID($A168,D$3,D$4-D$3))</f>
        <v/>
      </c>
      <c r="E168" s="6" t="str">
        <f>TRIM(MID($A168,E$3,E$4-E$3))</f>
        <v/>
      </c>
      <c r="F168" s="11" t="str">
        <f>TRIM(MID($A168,F$3,F$4-F$3))</f>
        <v/>
      </c>
      <c r="G168" s="11" t="str">
        <f>TRIM(MID($A168,G$3,G$4-G$3))</f>
        <v/>
      </c>
      <c r="H168" s="11" t="str">
        <f>TRIM(MID($A168,H$3,H$4-H$3))</f>
        <v/>
      </c>
      <c r="I168" s="11" t="str">
        <f>TRIM(MID($A168,I$3,I$4-I$3))</f>
        <v/>
      </c>
      <c r="J168" s="11" t="str">
        <f>TRIM(MID($A168,J$3,J$4-J$3))</f>
        <v/>
      </c>
      <c r="K168" s="11" t="str">
        <f>TRIM(MID($A168,K$3,K$4-K$3))</f>
        <v/>
      </c>
      <c r="L168" s="11" t="str">
        <f>TRIM(MID($A168,L$3,L$4-L$3))</f>
        <v/>
      </c>
      <c r="M168" s="6" t="str">
        <f>TRIM(MID($A168,M$3,M$4-M$3))</f>
        <v/>
      </c>
    </row>
    <row r="169" spans="1:13" x14ac:dyDescent="0.4">
      <c r="A169" s="10"/>
      <c r="B169" s="7"/>
      <c r="C169" s="6" t="str">
        <f>TRIM(MID($A169,C$3,C$4-C$3))</f>
        <v/>
      </c>
      <c r="D169" s="6" t="str">
        <f>TRIM(MID($A169,D$3,D$4-D$3))</f>
        <v/>
      </c>
      <c r="E169" s="6" t="str">
        <f>TRIM(MID($A169,E$3,E$4-E$3))</f>
        <v/>
      </c>
      <c r="F169" s="11" t="str">
        <f>TRIM(MID($A169,F$3,F$4-F$3))</f>
        <v/>
      </c>
      <c r="G169" s="11" t="str">
        <f>TRIM(MID($A169,G$3,G$4-G$3))</f>
        <v/>
      </c>
      <c r="H169" s="11" t="str">
        <f>TRIM(MID($A169,H$3,H$4-H$3))</f>
        <v/>
      </c>
      <c r="I169" s="11" t="str">
        <f>TRIM(MID($A169,I$3,I$4-I$3))</f>
        <v/>
      </c>
      <c r="J169" s="11" t="str">
        <f>TRIM(MID($A169,J$3,J$4-J$3))</f>
        <v/>
      </c>
      <c r="K169" s="11" t="str">
        <f>TRIM(MID($A169,K$3,K$4-K$3))</f>
        <v/>
      </c>
      <c r="L169" s="11" t="str">
        <f>TRIM(MID($A169,L$3,L$4-L$3))</f>
        <v/>
      </c>
      <c r="M169" s="6" t="str">
        <f>TRIM(MID($A169,M$3,M$4-M$3))</f>
        <v/>
      </c>
    </row>
    <row r="170" spans="1:13" x14ac:dyDescent="0.4">
      <c r="A170" s="10"/>
      <c r="B170" s="7"/>
      <c r="C170" s="6" t="str">
        <f>TRIM(MID($A170,C$3,C$4-C$3))</f>
        <v/>
      </c>
      <c r="D170" s="6" t="str">
        <f>TRIM(MID($A170,D$3,D$4-D$3))</f>
        <v/>
      </c>
      <c r="E170" s="6" t="str">
        <f>TRIM(MID($A170,E$3,E$4-E$3))</f>
        <v/>
      </c>
      <c r="F170" s="11" t="str">
        <f>TRIM(MID($A170,F$3,F$4-F$3))</f>
        <v/>
      </c>
      <c r="G170" s="11" t="str">
        <f>TRIM(MID($A170,G$3,G$4-G$3))</f>
        <v/>
      </c>
      <c r="H170" s="11" t="str">
        <f>TRIM(MID($A170,H$3,H$4-H$3))</f>
        <v/>
      </c>
      <c r="I170" s="11" t="str">
        <f>TRIM(MID($A170,I$3,I$4-I$3))</f>
        <v/>
      </c>
      <c r="J170" s="11" t="str">
        <f>TRIM(MID($A170,J$3,J$4-J$3))</f>
        <v/>
      </c>
      <c r="K170" s="11" t="str">
        <f>TRIM(MID($A170,K$3,K$4-K$3))</f>
        <v/>
      </c>
      <c r="L170" s="11" t="str">
        <f>TRIM(MID($A170,L$3,L$4-L$3))</f>
        <v/>
      </c>
      <c r="M170" s="6" t="str">
        <f>TRIM(MID($A170,M$3,M$4-M$3))</f>
        <v/>
      </c>
    </row>
    <row r="171" spans="1:13" x14ac:dyDescent="0.4">
      <c r="A171" s="10"/>
      <c r="B171" s="7"/>
      <c r="C171" s="6" t="str">
        <f>TRIM(MID($A171,C$3,C$4-C$3))</f>
        <v/>
      </c>
      <c r="D171" s="6" t="str">
        <f>TRIM(MID($A171,D$3,D$4-D$3))</f>
        <v/>
      </c>
      <c r="E171" s="6" t="str">
        <f>TRIM(MID($A171,E$3,E$4-E$3))</f>
        <v/>
      </c>
      <c r="F171" s="11" t="str">
        <f>TRIM(MID($A171,F$3,F$4-F$3))</f>
        <v/>
      </c>
      <c r="G171" s="11" t="str">
        <f>TRIM(MID($A171,G$3,G$4-G$3))</f>
        <v/>
      </c>
      <c r="H171" s="11" t="str">
        <f>TRIM(MID($A171,H$3,H$4-H$3))</f>
        <v/>
      </c>
      <c r="I171" s="11" t="str">
        <f>TRIM(MID($A171,I$3,I$4-I$3))</f>
        <v/>
      </c>
      <c r="J171" s="11" t="str">
        <f>TRIM(MID($A171,J$3,J$4-J$3))</f>
        <v/>
      </c>
      <c r="K171" s="11" t="str">
        <f>TRIM(MID($A171,K$3,K$4-K$3))</f>
        <v/>
      </c>
      <c r="L171" s="11" t="str">
        <f>TRIM(MID($A171,L$3,L$4-L$3))</f>
        <v/>
      </c>
      <c r="M171" s="6" t="str">
        <f>TRIM(MID($A171,M$3,M$4-M$3))</f>
        <v/>
      </c>
    </row>
    <row r="172" spans="1:13" x14ac:dyDescent="0.4">
      <c r="A172" s="10"/>
      <c r="B172" s="7"/>
      <c r="C172" s="6" t="str">
        <f>TRIM(MID($A172,C$3,C$4-C$3))</f>
        <v/>
      </c>
      <c r="D172" s="6" t="str">
        <f>TRIM(MID($A172,D$3,D$4-D$3))</f>
        <v/>
      </c>
      <c r="E172" s="6" t="str">
        <f>TRIM(MID($A172,E$3,E$4-E$3))</f>
        <v/>
      </c>
      <c r="F172" s="11" t="str">
        <f>TRIM(MID($A172,F$3,F$4-F$3))</f>
        <v/>
      </c>
      <c r="G172" s="11" t="str">
        <f>TRIM(MID($A172,G$3,G$4-G$3))</f>
        <v/>
      </c>
      <c r="H172" s="11" t="str">
        <f>TRIM(MID($A172,H$3,H$4-H$3))</f>
        <v/>
      </c>
      <c r="I172" s="11" t="str">
        <f>TRIM(MID($A172,I$3,I$4-I$3))</f>
        <v/>
      </c>
      <c r="J172" s="11" t="str">
        <f>TRIM(MID($A172,J$3,J$4-J$3))</f>
        <v/>
      </c>
      <c r="K172" s="11" t="str">
        <f>TRIM(MID($A172,K$3,K$4-K$3))</f>
        <v/>
      </c>
      <c r="L172" s="11" t="str">
        <f>TRIM(MID($A172,L$3,L$4-L$3))</f>
        <v/>
      </c>
      <c r="M172" s="6" t="str">
        <f>TRIM(MID($A172,M$3,M$4-M$3))</f>
        <v/>
      </c>
    </row>
    <row r="173" spans="1:13" x14ac:dyDescent="0.4">
      <c r="A173" s="10"/>
      <c r="B173" s="7"/>
      <c r="C173" s="6" t="str">
        <f>TRIM(MID($A173,C$3,C$4-C$3))</f>
        <v/>
      </c>
      <c r="D173" s="6" t="str">
        <f>TRIM(MID($A173,D$3,D$4-D$3))</f>
        <v/>
      </c>
      <c r="E173" s="6" t="str">
        <f>TRIM(MID($A173,E$3,E$4-E$3))</f>
        <v/>
      </c>
      <c r="F173" s="11" t="str">
        <f>TRIM(MID($A173,F$3,F$4-F$3))</f>
        <v/>
      </c>
      <c r="G173" s="11" t="str">
        <f>TRIM(MID($A173,G$3,G$4-G$3))</f>
        <v/>
      </c>
      <c r="H173" s="11" t="str">
        <f>TRIM(MID($A173,H$3,H$4-H$3))</f>
        <v/>
      </c>
      <c r="I173" s="11" t="str">
        <f>TRIM(MID($A173,I$3,I$4-I$3))</f>
        <v/>
      </c>
      <c r="J173" s="11" t="str">
        <f>TRIM(MID($A173,J$3,J$4-J$3))</f>
        <v/>
      </c>
      <c r="K173" s="11" t="str">
        <f>TRIM(MID($A173,K$3,K$4-K$3))</f>
        <v/>
      </c>
      <c r="L173" s="11" t="str">
        <f>TRIM(MID($A173,L$3,L$4-L$3))</f>
        <v/>
      </c>
      <c r="M173" s="6" t="str">
        <f>TRIM(MID($A173,M$3,M$4-M$3))</f>
        <v/>
      </c>
    </row>
    <row r="174" spans="1:13" x14ac:dyDescent="0.4">
      <c r="A174" s="10"/>
      <c r="B174" s="7"/>
      <c r="C174" s="6" t="str">
        <f>TRIM(MID($A174,C$3,C$4-C$3))</f>
        <v/>
      </c>
      <c r="D174" s="6" t="str">
        <f>TRIM(MID($A174,D$3,D$4-D$3))</f>
        <v/>
      </c>
      <c r="E174" s="6" t="str">
        <f>TRIM(MID($A174,E$3,E$4-E$3))</f>
        <v/>
      </c>
      <c r="F174" s="11" t="str">
        <f>TRIM(MID($A174,F$3,F$4-F$3))</f>
        <v/>
      </c>
      <c r="G174" s="11" t="str">
        <f>TRIM(MID($A174,G$3,G$4-G$3))</f>
        <v/>
      </c>
      <c r="H174" s="11" t="str">
        <f>TRIM(MID($A174,H$3,H$4-H$3))</f>
        <v/>
      </c>
      <c r="I174" s="11" t="str">
        <f>TRIM(MID($A174,I$3,I$4-I$3))</f>
        <v/>
      </c>
      <c r="J174" s="11" t="str">
        <f>TRIM(MID($A174,J$3,J$4-J$3))</f>
        <v/>
      </c>
      <c r="K174" s="11" t="str">
        <f>TRIM(MID($A174,K$3,K$4-K$3))</f>
        <v/>
      </c>
      <c r="L174" s="11" t="str">
        <f>TRIM(MID($A174,L$3,L$4-L$3))</f>
        <v/>
      </c>
      <c r="M174" s="6" t="str">
        <f>TRIM(MID($A174,M$3,M$4-M$3))</f>
        <v/>
      </c>
    </row>
    <row r="175" spans="1:13" x14ac:dyDescent="0.4">
      <c r="A175" s="10"/>
      <c r="B175" s="7"/>
      <c r="C175" s="6" t="str">
        <f>TRIM(MID($A175,C$3,C$4-C$3))</f>
        <v/>
      </c>
      <c r="D175" s="6" t="str">
        <f>TRIM(MID($A175,D$3,D$4-D$3))</f>
        <v/>
      </c>
      <c r="E175" s="6" t="str">
        <f>TRIM(MID($A175,E$3,E$4-E$3))</f>
        <v/>
      </c>
      <c r="F175" s="11" t="str">
        <f>TRIM(MID($A175,F$3,F$4-F$3))</f>
        <v/>
      </c>
      <c r="G175" s="11" t="str">
        <f>TRIM(MID($A175,G$3,G$4-G$3))</f>
        <v/>
      </c>
      <c r="H175" s="11" t="str">
        <f>TRIM(MID($A175,H$3,H$4-H$3))</f>
        <v/>
      </c>
      <c r="I175" s="11" t="str">
        <f>TRIM(MID($A175,I$3,I$4-I$3))</f>
        <v/>
      </c>
      <c r="J175" s="11" t="str">
        <f>TRIM(MID($A175,J$3,J$4-J$3))</f>
        <v/>
      </c>
      <c r="K175" s="11" t="str">
        <f>TRIM(MID($A175,K$3,K$4-K$3))</f>
        <v/>
      </c>
      <c r="L175" s="11" t="str">
        <f>TRIM(MID($A175,L$3,L$4-L$3))</f>
        <v/>
      </c>
      <c r="M175" s="6" t="str">
        <f>TRIM(MID($A175,M$3,M$4-M$3))</f>
        <v/>
      </c>
    </row>
    <row r="176" spans="1:13" x14ac:dyDescent="0.4">
      <c r="A176" s="10"/>
      <c r="B176" s="7"/>
      <c r="C176" s="6" t="str">
        <f>TRIM(MID($A176,C$3,C$4-C$3))</f>
        <v/>
      </c>
      <c r="D176" s="6" t="str">
        <f>TRIM(MID($A176,D$3,D$4-D$3))</f>
        <v/>
      </c>
      <c r="E176" s="6" t="str">
        <f>TRIM(MID($A176,E$3,E$4-E$3))</f>
        <v/>
      </c>
      <c r="F176" s="11" t="str">
        <f>TRIM(MID($A176,F$3,F$4-F$3))</f>
        <v/>
      </c>
      <c r="G176" s="11" t="str">
        <f>TRIM(MID($A176,G$3,G$4-G$3))</f>
        <v/>
      </c>
      <c r="H176" s="11" t="str">
        <f>TRIM(MID($A176,H$3,H$4-H$3))</f>
        <v/>
      </c>
      <c r="I176" s="11" t="str">
        <f>TRIM(MID($A176,I$3,I$4-I$3))</f>
        <v/>
      </c>
      <c r="J176" s="11" t="str">
        <f>TRIM(MID($A176,J$3,J$4-J$3))</f>
        <v/>
      </c>
      <c r="K176" s="11" t="str">
        <f>TRIM(MID($A176,K$3,K$4-K$3))</f>
        <v/>
      </c>
      <c r="L176" s="11" t="str">
        <f>TRIM(MID($A176,L$3,L$4-L$3))</f>
        <v/>
      </c>
      <c r="M176" s="6" t="str">
        <f>TRIM(MID($A176,M$3,M$4-M$3))</f>
        <v/>
      </c>
    </row>
    <row r="177" spans="1:13" x14ac:dyDescent="0.4">
      <c r="A177" s="10"/>
      <c r="B177" s="7"/>
      <c r="C177" s="6" t="str">
        <f>TRIM(MID($A177,C$3,C$4-C$3))</f>
        <v/>
      </c>
      <c r="D177" s="6" t="str">
        <f>TRIM(MID($A177,D$3,D$4-D$3))</f>
        <v/>
      </c>
      <c r="E177" s="6" t="str">
        <f>TRIM(MID($A177,E$3,E$4-E$3))</f>
        <v/>
      </c>
      <c r="F177" s="11" t="str">
        <f>TRIM(MID($A177,F$3,F$4-F$3))</f>
        <v/>
      </c>
      <c r="G177" s="11" t="str">
        <f>TRIM(MID($A177,G$3,G$4-G$3))</f>
        <v/>
      </c>
      <c r="H177" s="11" t="str">
        <f>TRIM(MID($A177,H$3,H$4-H$3))</f>
        <v/>
      </c>
      <c r="I177" s="11" t="str">
        <f>TRIM(MID($A177,I$3,I$4-I$3))</f>
        <v/>
      </c>
      <c r="J177" s="11" t="str">
        <f>TRIM(MID($A177,J$3,J$4-J$3))</f>
        <v/>
      </c>
      <c r="K177" s="11" t="str">
        <f>TRIM(MID($A177,K$3,K$4-K$3))</f>
        <v/>
      </c>
      <c r="L177" s="11" t="str">
        <f>TRIM(MID($A177,L$3,L$4-L$3))</f>
        <v/>
      </c>
      <c r="M177" s="6" t="str">
        <f>TRIM(MID($A177,M$3,M$4-M$3))</f>
        <v/>
      </c>
    </row>
    <row r="178" spans="1:13" x14ac:dyDescent="0.4">
      <c r="A178" s="10"/>
      <c r="B178" s="7"/>
      <c r="C178" s="6" t="str">
        <f>TRIM(MID($A178,C$3,C$4-C$3))</f>
        <v/>
      </c>
      <c r="D178" s="6" t="str">
        <f>TRIM(MID($A178,D$3,D$4-D$3))</f>
        <v/>
      </c>
      <c r="E178" s="6" t="str">
        <f>TRIM(MID($A178,E$3,E$4-E$3))</f>
        <v/>
      </c>
      <c r="F178" s="11" t="str">
        <f>TRIM(MID($A178,F$3,F$4-F$3))</f>
        <v/>
      </c>
      <c r="G178" s="11" t="str">
        <f>TRIM(MID($A178,G$3,G$4-G$3))</f>
        <v/>
      </c>
      <c r="H178" s="11" t="str">
        <f>TRIM(MID($A178,H$3,H$4-H$3))</f>
        <v/>
      </c>
      <c r="I178" s="11" t="str">
        <f>TRIM(MID($A178,I$3,I$4-I$3))</f>
        <v/>
      </c>
      <c r="J178" s="11" t="str">
        <f>TRIM(MID($A178,J$3,J$4-J$3))</f>
        <v/>
      </c>
      <c r="K178" s="11" t="str">
        <f>TRIM(MID($A178,K$3,K$4-K$3))</f>
        <v/>
      </c>
      <c r="L178" s="11" t="str">
        <f>TRIM(MID($A178,L$3,L$4-L$3))</f>
        <v/>
      </c>
      <c r="M178" s="6" t="str">
        <f>TRIM(MID($A178,M$3,M$4-M$3))</f>
        <v/>
      </c>
    </row>
    <row r="179" spans="1:13" x14ac:dyDescent="0.4">
      <c r="A179" s="10"/>
      <c r="B179" s="7"/>
      <c r="C179" s="6" t="str">
        <f>TRIM(MID($A179,C$3,C$4-C$3))</f>
        <v/>
      </c>
      <c r="D179" s="6" t="str">
        <f>TRIM(MID($A179,D$3,D$4-D$3))</f>
        <v/>
      </c>
      <c r="E179" s="6" t="str">
        <f>TRIM(MID($A179,E$3,E$4-E$3))</f>
        <v/>
      </c>
      <c r="F179" s="11" t="str">
        <f>TRIM(MID($A179,F$3,F$4-F$3))</f>
        <v/>
      </c>
      <c r="G179" s="11" t="str">
        <f>TRIM(MID($A179,G$3,G$4-G$3))</f>
        <v/>
      </c>
      <c r="H179" s="11" t="str">
        <f>TRIM(MID($A179,H$3,H$4-H$3))</f>
        <v/>
      </c>
      <c r="I179" s="11" t="str">
        <f>TRIM(MID($A179,I$3,I$4-I$3))</f>
        <v/>
      </c>
      <c r="J179" s="11" t="str">
        <f>TRIM(MID($A179,J$3,J$4-J$3))</f>
        <v/>
      </c>
      <c r="K179" s="11" t="str">
        <f>TRIM(MID($A179,K$3,K$4-K$3))</f>
        <v/>
      </c>
      <c r="L179" s="11" t="str">
        <f>TRIM(MID($A179,L$3,L$4-L$3))</f>
        <v/>
      </c>
      <c r="M179" s="6" t="str">
        <f>TRIM(MID($A179,M$3,M$4-M$3))</f>
        <v/>
      </c>
    </row>
    <row r="180" spans="1:13" x14ac:dyDescent="0.4">
      <c r="A180" s="10"/>
      <c r="B180" s="7"/>
      <c r="C180" s="6" t="str">
        <f>TRIM(MID($A180,C$3,C$4-C$3))</f>
        <v/>
      </c>
      <c r="D180" s="6" t="str">
        <f>TRIM(MID($A180,D$3,D$4-D$3))</f>
        <v/>
      </c>
      <c r="E180" s="6" t="str">
        <f>TRIM(MID($A180,E$3,E$4-E$3))</f>
        <v/>
      </c>
      <c r="F180" s="11" t="str">
        <f>TRIM(MID($A180,F$3,F$4-F$3))</f>
        <v/>
      </c>
      <c r="G180" s="11" t="str">
        <f>TRIM(MID($A180,G$3,G$4-G$3))</f>
        <v/>
      </c>
      <c r="H180" s="11" t="str">
        <f>TRIM(MID($A180,H$3,H$4-H$3))</f>
        <v/>
      </c>
      <c r="I180" s="11" t="str">
        <f>TRIM(MID($A180,I$3,I$4-I$3))</f>
        <v/>
      </c>
      <c r="J180" s="11" t="str">
        <f>TRIM(MID($A180,J$3,J$4-J$3))</f>
        <v/>
      </c>
      <c r="K180" s="11" t="str">
        <f>TRIM(MID($A180,K$3,K$4-K$3))</f>
        <v/>
      </c>
      <c r="L180" s="11" t="str">
        <f>TRIM(MID($A180,L$3,L$4-L$3))</f>
        <v/>
      </c>
      <c r="M180" s="6" t="str">
        <f>TRIM(MID($A180,M$3,M$4-M$3))</f>
        <v/>
      </c>
    </row>
    <row r="181" spans="1:13" x14ac:dyDescent="0.4">
      <c r="A181" s="10"/>
      <c r="B181" s="7"/>
      <c r="C181" s="6" t="str">
        <f>TRIM(MID($A181,C$3,C$4-C$3))</f>
        <v/>
      </c>
      <c r="D181" s="6" t="str">
        <f>TRIM(MID($A181,D$3,D$4-D$3))</f>
        <v/>
      </c>
      <c r="E181" s="6" t="str">
        <f>TRIM(MID($A181,E$3,E$4-E$3))</f>
        <v/>
      </c>
      <c r="F181" s="11" t="str">
        <f>TRIM(MID($A181,F$3,F$4-F$3))</f>
        <v/>
      </c>
      <c r="G181" s="11" t="str">
        <f>TRIM(MID($A181,G$3,G$4-G$3))</f>
        <v/>
      </c>
      <c r="H181" s="11" t="str">
        <f>TRIM(MID($A181,H$3,H$4-H$3))</f>
        <v/>
      </c>
      <c r="I181" s="11" t="str">
        <f>TRIM(MID($A181,I$3,I$4-I$3))</f>
        <v/>
      </c>
      <c r="J181" s="11" t="str">
        <f>TRIM(MID($A181,J$3,J$4-J$3))</f>
        <v/>
      </c>
      <c r="K181" s="11" t="str">
        <f>TRIM(MID($A181,K$3,K$4-K$3))</f>
        <v/>
      </c>
      <c r="L181" s="11" t="str">
        <f>TRIM(MID($A181,L$3,L$4-L$3))</f>
        <v/>
      </c>
      <c r="M181" s="6" t="str">
        <f>TRIM(MID($A181,M$3,M$4-M$3))</f>
        <v/>
      </c>
    </row>
    <row r="182" spans="1:13" x14ac:dyDescent="0.4">
      <c r="A182" s="10"/>
      <c r="B182" s="7"/>
      <c r="C182" s="6" t="str">
        <f>TRIM(MID($A182,C$3,C$4-C$3))</f>
        <v/>
      </c>
      <c r="D182" s="6" t="str">
        <f>TRIM(MID($A182,D$3,D$4-D$3))</f>
        <v/>
      </c>
      <c r="E182" s="6" t="str">
        <f>TRIM(MID($A182,E$3,E$4-E$3))</f>
        <v/>
      </c>
      <c r="F182" s="11" t="str">
        <f>TRIM(MID($A182,F$3,F$4-F$3))</f>
        <v/>
      </c>
      <c r="G182" s="11" t="str">
        <f>TRIM(MID($A182,G$3,G$4-G$3))</f>
        <v/>
      </c>
      <c r="H182" s="11" t="str">
        <f>TRIM(MID($A182,H$3,H$4-H$3))</f>
        <v/>
      </c>
      <c r="I182" s="11" t="str">
        <f>TRIM(MID($A182,I$3,I$4-I$3))</f>
        <v/>
      </c>
      <c r="J182" s="11" t="str">
        <f>TRIM(MID($A182,J$3,J$4-J$3))</f>
        <v/>
      </c>
      <c r="K182" s="11" t="str">
        <f>TRIM(MID($A182,K$3,K$4-K$3))</f>
        <v/>
      </c>
      <c r="L182" s="11" t="str">
        <f>TRIM(MID($A182,L$3,L$4-L$3))</f>
        <v/>
      </c>
      <c r="M182" s="6" t="str">
        <f>TRIM(MID($A182,M$3,M$4-M$3))</f>
        <v/>
      </c>
    </row>
    <row r="183" spans="1:13" x14ac:dyDescent="0.4">
      <c r="A183" s="10"/>
      <c r="B183" s="7"/>
      <c r="C183" s="6" t="str">
        <f>TRIM(MID($A183,C$3,C$4-C$3))</f>
        <v/>
      </c>
      <c r="D183" s="6" t="str">
        <f>TRIM(MID($A183,D$3,D$4-D$3))</f>
        <v/>
      </c>
      <c r="E183" s="6" t="str">
        <f>TRIM(MID($A183,E$3,E$4-E$3))</f>
        <v/>
      </c>
      <c r="F183" s="11" t="str">
        <f>TRIM(MID($A183,F$3,F$4-F$3))</f>
        <v/>
      </c>
      <c r="G183" s="11" t="str">
        <f>TRIM(MID($A183,G$3,G$4-G$3))</f>
        <v/>
      </c>
      <c r="H183" s="11" t="str">
        <f>TRIM(MID($A183,H$3,H$4-H$3))</f>
        <v/>
      </c>
      <c r="I183" s="11" t="str">
        <f>TRIM(MID($A183,I$3,I$4-I$3))</f>
        <v/>
      </c>
      <c r="J183" s="11" t="str">
        <f>TRIM(MID($A183,J$3,J$4-J$3))</f>
        <v/>
      </c>
      <c r="K183" s="11" t="str">
        <f>TRIM(MID($A183,K$3,K$4-K$3))</f>
        <v/>
      </c>
      <c r="L183" s="11" t="str">
        <f>TRIM(MID($A183,L$3,L$4-L$3))</f>
        <v/>
      </c>
      <c r="M183" s="6" t="str">
        <f>TRIM(MID($A183,M$3,M$4-M$3))</f>
        <v/>
      </c>
    </row>
    <row r="184" spans="1:13" x14ac:dyDescent="0.4">
      <c r="A184" s="10"/>
      <c r="B184" s="7"/>
      <c r="C184" s="6" t="str">
        <f>TRIM(MID($A184,C$3,C$4-C$3))</f>
        <v/>
      </c>
      <c r="D184" s="6" t="str">
        <f>TRIM(MID($A184,D$3,D$4-D$3))</f>
        <v/>
      </c>
      <c r="E184" s="6" t="str">
        <f>TRIM(MID($A184,E$3,E$4-E$3))</f>
        <v/>
      </c>
      <c r="F184" s="11" t="str">
        <f>TRIM(MID($A184,F$3,F$4-F$3))</f>
        <v/>
      </c>
      <c r="G184" s="11" t="str">
        <f>TRIM(MID($A184,G$3,G$4-G$3))</f>
        <v/>
      </c>
      <c r="H184" s="11" t="str">
        <f>TRIM(MID($A184,H$3,H$4-H$3))</f>
        <v/>
      </c>
      <c r="I184" s="11" t="str">
        <f>TRIM(MID($A184,I$3,I$4-I$3))</f>
        <v/>
      </c>
      <c r="J184" s="11" t="str">
        <f>TRIM(MID($A184,J$3,J$4-J$3))</f>
        <v/>
      </c>
      <c r="K184" s="11" t="str">
        <f>TRIM(MID($A184,K$3,K$4-K$3))</f>
        <v/>
      </c>
      <c r="L184" s="11" t="str">
        <f>TRIM(MID($A184,L$3,L$4-L$3))</f>
        <v/>
      </c>
      <c r="M184" s="6" t="str">
        <f>TRIM(MID($A184,M$3,M$4-M$3))</f>
        <v/>
      </c>
    </row>
    <row r="185" spans="1:13" x14ac:dyDescent="0.4">
      <c r="A185" s="10"/>
      <c r="B185" s="7"/>
      <c r="C185" s="6" t="str">
        <f>TRIM(MID($A185,C$3,C$4-C$3))</f>
        <v/>
      </c>
      <c r="D185" s="6" t="str">
        <f>TRIM(MID($A185,D$3,D$4-D$3))</f>
        <v/>
      </c>
      <c r="E185" s="6" t="str">
        <f>TRIM(MID($A185,E$3,E$4-E$3))</f>
        <v/>
      </c>
      <c r="F185" s="11" t="str">
        <f>TRIM(MID($A185,F$3,F$4-F$3))</f>
        <v/>
      </c>
      <c r="G185" s="11" t="str">
        <f>TRIM(MID($A185,G$3,G$4-G$3))</f>
        <v/>
      </c>
      <c r="H185" s="11" t="str">
        <f>TRIM(MID($A185,H$3,H$4-H$3))</f>
        <v/>
      </c>
      <c r="I185" s="11" t="str">
        <f>TRIM(MID($A185,I$3,I$4-I$3))</f>
        <v/>
      </c>
      <c r="J185" s="11" t="str">
        <f>TRIM(MID($A185,J$3,J$4-J$3))</f>
        <v/>
      </c>
      <c r="K185" s="11" t="str">
        <f>TRIM(MID($A185,K$3,K$4-K$3))</f>
        <v/>
      </c>
      <c r="L185" s="11" t="str">
        <f>TRIM(MID($A185,L$3,L$4-L$3))</f>
        <v/>
      </c>
      <c r="M185" s="6" t="str">
        <f>TRIM(MID($A185,M$3,M$4-M$3))</f>
        <v/>
      </c>
    </row>
    <row r="186" spans="1:13" x14ac:dyDescent="0.4">
      <c r="A186" s="10"/>
      <c r="B186" s="7"/>
      <c r="C186" s="6" t="str">
        <f>TRIM(MID($A186,C$3,C$4-C$3))</f>
        <v/>
      </c>
      <c r="D186" s="6" t="str">
        <f>TRIM(MID($A186,D$3,D$4-D$3))</f>
        <v/>
      </c>
      <c r="E186" s="6" t="str">
        <f>TRIM(MID($A186,E$3,E$4-E$3))</f>
        <v/>
      </c>
      <c r="F186" s="11" t="str">
        <f>TRIM(MID($A186,F$3,F$4-F$3))</f>
        <v/>
      </c>
      <c r="G186" s="11" t="str">
        <f>TRIM(MID($A186,G$3,G$4-G$3))</f>
        <v/>
      </c>
      <c r="H186" s="11" t="str">
        <f>TRIM(MID($A186,H$3,H$4-H$3))</f>
        <v/>
      </c>
      <c r="I186" s="11" t="str">
        <f>TRIM(MID($A186,I$3,I$4-I$3))</f>
        <v/>
      </c>
      <c r="J186" s="11" t="str">
        <f>TRIM(MID($A186,J$3,J$4-J$3))</f>
        <v/>
      </c>
      <c r="K186" s="11" t="str">
        <f>TRIM(MID($A186,K$3,K$4-K$3))</f>
        <v/>
      </c>
      <c r="L186" s="11" t="str">
        <f>TRIM(MID($A186,L$3,L$4-L$3))</f>
        <v/>
      </c>
      <c r="M186" s="6" t="str">
        <f>TRIM(MID($A186,M$3,M$4-M$3))</f>
        <v/>
      </c>
    </row>
    <row r="187" spans="1:13" x14ac:dyDescent="0.4">
      <c r="A187" s="10"/>
      <c r="B187" s="7"/>
      <c r="C187" s="6" t="str">
        <f>TRIM(MID($A187,C$3,C$4-C$3))</f>
        <v/>
      </c>
      <c r="D187" s="6" t="str">
        <f>TRIM(MID($A187,D$3,D$4-D$3))</f>
        <v/>
      </c>
      <c r="E187" s="6" t="str">
        <f>TRIM(MID($A187,E$3,E$4-E$3))</f>
        <v/>
      </c>
      <c r="F187" s="11" t="str">
        <f>TRIM(MID($A187,F$3,F$4-F$3))</f>
        <v/>
      </c>
      <c r="G187" s="11" t="str">
        <f>TRIM(MID($A187,G$3,G$4-G$3))</f>
        <v/>
      </c>
      <c r="H187" s="11" t="str">
        <f>TRIM(MID($A187,H$3,H$4-H$3))</f>
        <v/>
      </c>
      <c r="I187" s="11" t="str">
        <f>TRIM(MID($A187,I$3,I$4-I$3))</f>
        <v/>
      </c>
      <c r="J187" s="11" t="str">
        <f>TRIM(MID($A187,J$3,J$4-J$3))</f>
        <v/>
      </c>
      <c r="K187" s="11" t="str">
        <f>TRIM(MID($A187,K$3,K$4-K$3))</f>
        <v/>
      </c>
      <c r="L187" s="11" t="str">
        <f>TRIM(MID($A187,L$3,L$4-L$3))</f>
        <v/>
      </c>
      <c r="M187" s="6" t="str">
        <f>TRIM(MID($A187,M$3,M$4-M$3))</f>
        <v/>
      </c>
    </row>
    <row r="188" spans="1:13" x14ac:dyDescent="0.4">
      <c r="A188" s="10"/>
      <c r="B188" s="7"/>
      <c r="C188" s="6" t="str">
        <f>TRIM(MID($A188,C$3,C$4-C$3))</f>
        <v/>
      </c>
      <c r="D188" s="6" t="str">
        <f>TRIM(MID($A188,D$3,D$4-D$3))</f>
        <v/>
      </c>
      <c r="E188" s="6" t="str">
        <f>TRIM(MID($A188,E$3,E$4-E$3))</f>
        <v/>
      </c>
      <c r="F188" s="11" t="str">
        <f>TRIM(MID($A188,F$3,F$4-F$3))</f>
        <v/>
      </c>
      <c r="G188" s="11" t="str">
        <f>TRIM(MID($A188,G$3,G$4-G$3))</f>
        <v/>
      </c>
      <c r="H188" s="11" t="str">
        <f>TRIM(MID($A188,H$3,H$4-H$3))</f>
        <v/>
      </c>
      <c r="I188" s="11" t="str">
        <f>TRIM(MID($A188,I$3,I$4-I$3))</f>
        <v/>
      </c>
      <c r="J188" s="11" t="str">
        <f>TRIM(MID($A188,J$3,J$4-J$3))</f>
        <v/>
      </c>
      <c r="K188" s="11" t="str">
        <f>TRIM(MID($A188,K$3,K$4-K$3))</f>
        <v/>
      </c>
      <c r="L188" s="11" t="str">
        <f>TRIM(MID($A188,L$3,L$4-L$3))</f>
        <v/>
      </c>
      <c r="M188" s="6" t="str">
        <f>TRIM(MID($A188,M$3,M$4-M$3))</f>
        <v/>
      </c>
    </row>
    <row r="189" spans="1:13" x14ac:dyDescent="0.4">
      <c r="A189" s="10"/>
      <c r="B189" s="7"/>
      <c r="C189" s="6" t="str">
        <f>TRIM(MID($A189,C$3,C$4-C$3))</f>
        <v/>
      </c>
      <c r="D189" s="6" t="str">
        <f>TRIM(MID($A189,D$3,D$4-D$3))</f>
        <v/>
      </c>
      <c r="E189" s="6" t="str">
        <f>TRIM(MID($A189,E$3,E$4-E$3))</f>
        <v/>
      </c>
      <c r="F189" s="11" t="str">
        <f>TRIM(MID($A189,F$3,F$4-F$3))</f>
        <v/>
      </c>
      <c r="G189" s="11" t="str">
        <f>TRIM(MID($A189,G$3,G$4-G$3))</f>
        <v/>
      </c>
      <c r="H189" s="11" t="str">
        <f>TRIM(MID($A189,H$3,H$4-H$3))</f>
        <v/>
      </c>
      <c r="I189" s="11" t="str">
        <f>TRIM(MID($A189,I$3,I$4-I$3))</f>
        <v/>
      </c>
      <c r="J189" s="11" t="str">
        <f>TRIM(MID($A189,J$3,J$4-J$3))</f>
        <v/>
      </c>
      <c r="K189" s="11" t="str">
        <f>TRIM(MID($A189,K$3,K$4-K$3))</f>
        <v/>
      </c>
      <c r="L189" s="11" t="str">
        <f>TRIM(MID($A189,L$3,L$4-L$3))</f>
        <v/>
      </c>
      <c r="M189" s="6" t="str">
        <f>TRIM(MID($A189,M$3,M$4-M$3))</f>
        <v/>
      </c>
    </row>
    <row r="190" spans="1:13" x14ac:dyDescent="0.4">
      <c r="A190" s="10"/>
      <c r="B190" s="7"/>
      <c r="C190" s="6" t="str">
        <f>TRIM(MID($A190,C$3,C$4-C$3))</f>
        <v/>
      </c>
      <c r="D190" s="6" t="str">
        <f>TRIM(MID($A190,D$3,D$4-D$3))</f>
        <v/>
      </c>
      <c r="E190" s="6" t="str">
        <f>TRIM(MID($A190,E$3,E$4-E$3))</f>
        <v/>
      </c>
      <c r="F190" s="11" t="str">
        <f>TRIM(MID($A190,F$3,F$4-F$3))</f>
        <v/>
      </c>
      <c r="G190" s="11" t="str">
        <f>TRIM(MID($A190,G$3,G$4-G$3))</f>
        <v/>
      </c>
      <c r="H190" s="11" t="str">
        <f>TRIM(MID($A190,H$3,H$4-H$3))</f>
        <v/>
      </c>
      <c r="I190" s="11" t="str">
        <f>TRIM(MID($A190,I$3,I$4-I$3))</f>
        <v/>
      </c>
      <c r="J190" s="11" t="str">
        <f>TRIM(MID($A190,J$3,J$4-J$3))</f>
        <v/>
      </c>
      <c r="K190" s="11" t="str">
        <f>TRIM(MID($A190,K$3,K$4-K$3))</f>
        <v/>
      </c>
      <c r="L190" s="11" t="str">
        <f>TRIM(MID($A190,L$3,L$4-L$3))</f>
        <v/>
      </c>
      <c r="M190" s="6" t="str">
        <f>TRIM(MID($A190,M$3,M$4-M$3))</f>
        <v/>
      </c>
    </row>
    <row r="191" spans="1:13" x14ac:dyDescent="0.4">
      <c r="A191" s="10"/>
      <c r="B191" s="7"/>
      <c r="C191" s="6" t="str">
        <f>TRIM(MID($A191,C$3,C$4-C$3))</f>
        <v/>
      </c>
      <c r="D191" s="6" t="str">
        <f>TRIM(MID($A191,D$3,D$4-D$3))</f>
        <v/>
      </c>
      <c r="E191" s="6" t="str">
        <f>TRIM(MID($A191,E$3,E$4-E$3))</f>
        <v/>
      </c>
      <c r="F191" s="11" t="str">
        <f>TRIM(MID($A191,F$3,F$4-F$3))</f>
        <v/>
      </c>
      <c r="G191" s="11" t="str">
        <f>TRIM(MID($A191,G$3,G$4-G$3))</f>
        <v/>
      </c>
      <c r="H191" s="11" t="str">
        <f>TRIM(MID($A191,H$3,H$4-H$3))</f>
        <v/>
      </c>
      <c r="I191" s="11" t="str">
        <f>TRIM(MID($A191,I$3,I$4-I$3))</f>
        <v/>
      </c>
      <c r="J191" s="11" t="str">
        <f>TRIM(MID($A191,J$3,J$4-J$3))</f>
        <v/>
      </c>
      <c r="K191" s="11" t="str">
        <f>TRIM(MID($A191,K$3,K$4-K$3))</f>
        <v/>
      </c>
      <c r="L191" s="11" t="str">
        <f>TRIM(MID($A191,L$3,L$4-L$3))</f>
        <v/>
      </c>
      <c r="M191" s="6" t="str">
        <f>TRIM(MID($A191,M$3,M$4-M$3))</f>
        <v/>
      </c>
    </row>
    <row r="192" spans="1:13" x14ac:dyDescent="0.4">
      <c r="A192" s="10"/>
      <c r="B192" s="7"/>
      <c r="C192" s="6" t="str">
        <f>TRIM(MID($A192,C$3,C$4-C$3))</f>
        <v/>
      </c>
      <c r="D192" s="6" t="str">
        <f>TRIM(MID($A192,D$3,D$4-D$3))</f>
        <v/>
      </c>
      <c r="E192" s="6" t="str">
        <f>TRIM(MID($A192,E$3,E$4-E$3))</f>
        <v/>
      </c>
      <c r="F192" s="11" t="str">
        <f>TRIM(MID($A192,F$3,F$4-F$3))</f>
        <v/>
      </c>
      <c r="G192" s="11" t="str">
        <f>TRIM(MID($A192,G$3,G$4-G$3))</f>
        <v/>
      </c>
      <c r="H192" s="11" t="str">
        <f>TRIM(MID($A192,H$3,H$4-H$3))</f>
        <v/>
      </c>
      <c r="I192" s="11" t="str">
        <f>TRIM(MID($A192,I$3,I$4-I$3))</f>
        <v/>
      </c>
      <c r="J192" s="11" t="str">
        <f>TRIM(MID($A192,J$3,J$4-J$3))</f>
        <v/>
      </c>
      <c r="K192" s="11" t="str">
        <f>TRIM(MID($A192,K$3,K$4-K$3))</f>
        <v/>
      </c>
      <c r="L192" s="11" t="str">
        <f>TRIM(MID($A192,L$3,L$4-L$3))</f>
        <v/>
      </c>
      <c r="M192" s="6" t="str">
        <f>TRIM(MID($A192,M$3,M$4-M$3))</f>
        <v/>
      </c>
    </row>
    <row r="193" spans="1:13" x14ac:dyDescent="0.4">
      <c r="A193" s="10"/>
      <c r="B193" s="7"/>
      <c r="C193" s="6" t="str">
        <f>TRIM(MID($A193,C$3,C$4-C$3))</f>
        <v/>
      </c>
      <c r="D193" s="6" t="str">
        <f>TRIM(MID($A193,D$3,D$4-D$3))</f>
        <v/>
      </c>
      <c r="E193" s="6" t="str">
        <f>TRIM(MID($A193,E$3,E$4-E$3))</f>
        <v/>
      </c>
      <c r="F193" s="11" t="str">
        <f>TRIM(MID($A193,F$3,F$4-F$3))</f>
        <v/>
      </c>
      <c r="G193" s="11" t="str">
        <f>TRIM(MID($A193,G$3,G$4-G$3))</f>
        <v/>
      </c>
      <c r="H193" s="11" t="str">
        <f>TRIM(MID($A193,H$3,H$4-H$3))</f>
        <v/>
      </c>
      <c r="I193" s="11" t="str">
        <f>TRIM(MID($A193,I$3,I$4-I$3))</f>
        <v/>
      </c>
      <c r="J193" s="11" t="str">
        <f>TRIM(MID($A193,J$3,J$4-J$3))</f>
        <v/>
      </c>
      <c r="K193" s="11" t="str">
        <f>TRIM(MID($A193,K$3,K$4-K$3))</f>
        <v/>
      </c>
      <c r="L193" s="11" t="str">
        <f>TRIM(MID($A193,L$3,L$4-L$3))</f>
        <v/>
      </c>
      <c r="M193" s="6" t="str">
        <f>TRIM(MID($A193,M$3,M$4-M$3))</f>
        <v/>
      </c>
    </row>
    <row r="194" spans="1:13" x14ac:dyDescent="0.4">
      <c r="A194" s="10"/>
      <c r="B194" s="7"/>
      <c r="C194" s="6" t="str">
        <f>TRIM(MID($A194,C$3,C$4-C$3))</f>
        <v/>
      </c>
      <c r="D194" s="6" t="str">
        <f>TRIM(MID($A194,D$3,D$4-D$3))</f>
        <v/>
      </c>
      <c r="E194" s="6" t="str">
        <f>TRIM(MID($A194,E$3,E$4-E$3))</f>
        <v/>
      </c>
      <c r="F194" s="11" t="str">
        <f>TRIM(MID($A194,F$3,F$4-F$3))</f>
        <v/>
      </c>
      <c r="G194" s="11" t="str">
        <f>TRIM(MID($A194,G$3,G$4-G$3))</f>
        <v/>
      </c>
      <c r="H194" s="11" t="str">
        <f>TRIM(MID($A194,H$3,H$4-H$3))</f>
        <v/>
      </c>
      <c r="I194" s="11" t="str">
        <f>TRIM(MID($A194,I$3,I$4-I$3))</f>
        <v/>
      </c>
      <c r="J194" s="11" t="str">
        <f>TRIM(MID($A194,J$3,J$4-J$3))</f>
        <v/>
      </c>
      <c r="K194" s="11" t="str">
        <f>TRIM(MID($A194,K$3,K$4-K$3))</f>
        <v/>
      </c>
      <c r="L194" s="11" t="str">
        <f>TRIM(MID($A194,L$3,L$4-L$3))</f>
        <v/>
      </c>
      <c r="M194" s="6" t="str">
        <f>TRIM(MID($A194,M$3,M$4-M$3))</f>
        <v/>
      </c>
    </row>
    <row r="195" spans="1:13" x14ac:dyDescent="0.4">
      <c r="A195" s="10"/>
      <c r="B195" s="7"/>
      <c r="C195" s="6" t="str">
        <f>TRIM(MID($A195,C$3,C$4-C$3))</f>
        <v/>
      </c>
      <c r="D195" s="6" t="str">
        <f>TRIM(MID($A195,D$3,D$4-D$3))</f>
        <v/>
      </c>
      <c r="E195" s="6" t="str">
        <f>TRIM(MID($A195,E$3,E$4-E$3))</f>
        <v/>
      </c>
      <c r="F195" s="11" t="str">
        <f>TRIM(MID($A195,F$3,F$4-F$3))</f>
        <v/>
      </c>
      <c r="G195" s="11" t="str">
        <f>TRIM(MID($A195,G$3,G$4-G$3))</f>
        <v/>
      </c>
      <c r="H195" s="11" t="str">
        <f>TRIM(MID($A195,H$3,H$4-H$3))</f>
        <v/>
      </c>
      <c r="I195" s="11" t="str">
        <f>TRIM(MID($A195,I$3,I$4-I$3))</f>
        <v/>
      </c>
      <c r="J195" s="11" t="str">
        <f>TRIM(MID($A195,J$3,J$4-J$3))</f>
        <v/>
      </c>
      <c r="K195" s="11" t="str">
        <f>TRIM(MID($A195,K$3,K$4-K$3))</f>
        <v/>
      </c>
      <c r="L195" s="11" t="str">
        <f>TRIM(MID($A195,L$3,L$4-L$3))</f>
        <v/>
      </c>
      <c r="M195" s="6" t="str">
        <f>TRIM(MID($A195,M$3,M$4-M$3))</f>
        <v/>
      </c>
    </row>
    <row r="196" spans="1:13" x14ac:dyDescent="0.4">
      <c r="A196" s="10"/>
      <c r="B196" s="7"/>
      <c r="C196" s="6" t="str">
        <f>TRIM(MID($A196,C$3,C$4-C$3))</f>
        <v/>
      </c>
      <c r="D196" s="6" t="str">
        <f>TRIM(MID($A196,D$3,D$4-D$3))</f>
        <v/>
      </c>
      <c r="E196" s="6" t="str">
        <f>TRIM(MID($A196,E$3,E$4-E$3))</f>
        <v/>
      </c>
      <c r="F196" s="11" t="str">
        <f>TRIM(MID($A196,F$3,F$4-F$3))</f>
        <v/>
      </c>
      <c r="G196" s="11" t="str">
        <f>TRIM(MID($A196,G$3,G$4-G$3))</f>
        <v/>
      </c>
      <c r="H196" s="11" t="str">
        <f>TRIM(MID($A196,H$3,H$4-H$3))</f>
        <v/>
      </c>
      <c r="I196" s="11" t="str">
        <f>TRIM(MID($A196,I$3,I$4-I$3))</f>
        <v/>
      </c>
      <c r="J196" s="11" t="str">
        <f>TRIM(MID($A196,J$3,J$4-J$3))</f>
        <v/>
      </c>
      <c r="K196" s="11" t="str">
        <f>TRIM(MID($A196,K$3,K$4-K$3))</f>
        <v/>
      </c>
      <c r="L196" s="11" t="str">
        <f>TRIM(MID($A196,L$3,L$4-L$3))</f>
        <v/>
      </c>
      <c r="M196" s="6" t="str">
        <f>TRIM(MID($A196,M$3,M$4-M$3))</f>
        <v/>
      </c>
    </row>
    <row r="197" spans="1:13" x14ac:dyDescent="0.4">
      <c r="A197" s="10"/>
      <c r="B197" s="7"/>
      <c r="C197" s="6" t="str">
        <f>TRIM(MID($A197,C$3,C$4-C$3))</f>
        <v/>
      </c>
      <c r="D197" s="6" t="str">
        <f>TRIM(MID($A197,D$3,D$4-D$3))</f>
        <v/>
      </c>
      <c r="E197" s="6" t="str">
        <f>TRIM(MID($A197,E$3,E$4-E$3))</f>
        <v/>
      </c>
      <c r="F197" s="11" t="str">
        <f>TRIM(MID($A197,F$3,F$4-F$3))</f>
        <v/>
      </c>
      <c r="G197" s="11" t="str">
        <f>TRIM(MID($A197,G$3,G$4-G$3))</f>
        <v/>
      </c>
      <c r="H197" s="11" t="str">
        <f>TRIM(MID($A197,H$3,H$4-H$3))</f>
        <v/>
      </c>
      <c r="I197" s="11" t="str">
        <f>TRIM(MID($A197,I$3,I$4-I$3))</f>
        <v/>
      </c>
      <c r="J197" s="11" t="str">
        <f>TRIM(MID($A197,J$3,J$4-J$3))</f>
        <v/>
      </c>
      <c r="K197" s="11" t="str">
        <f>TRIM(MID($A197,K$3,K$4-K$3))</f>
        <v/>
      </c>
      <c r="L197" s="11" t="str">
        <f>TRIM(MID($A197,L$3,L$4-L$3))</f>
        <v/>
      </c>
      <c r="M197" s="6" t="str">
        <f>TRIM(MID($A197,M$3,M$4-M$3))</f>
        <v/>
      </c>
    </row>
    <row r="198" spans="1:13" x14ac:dyDescent="0.4">
      <c r="A198" s="10"/>
      <c r="B198" s="7"/>
      <c r="C198" s="6" t="str">
        <f>TRIM(MID($A198,C$3,C$4-C$3))</f>
        <v/>
      </c>
      <c r="D198" s="6" t="str">
        <f>TRIM(MID($A198,D$3,D$4-D$3))</f>
        <v/>
      </c>
      <c r="E198" s="6" t="str">
        <f>TRIM(MID($A198,E$3,E$4-E$3))</f>
        <v/>
      </c>
      <c r="F198" s="11" t="str">
        <f>TRIM(MID($A198,F$3,F$4-F$3))</f>
        <v/>
      </c>
      <c r="G198" s="11" t="str">
        <f>TRIM(MID($A198,G$3,G$4-G$3))</f>
        <v/>
      </c>
      <c r="H198" s="11" t="str">
        <f>TRIM(MID($A198,H$3,H$4-H$3))</f>
        <v/>
      </c>
      <c r="I198" s="11" t="str">
        <f>TRIM(MID($A198,I$3,I$4-I$3))</f>
        <v/>
      </c>
      <c r="J198" s="11" t="str">
        <f>TRIM(MID($A198,J$3,J$4-J$3))</f>
        <v/>
      </c>
      <c r="K198" s="11" t="str">
        <f>TRIM(MID($A198,K$3,K$4-K$3))</f>
        <v/>
      </c>
      <c r="L198" s="11" t="str">
        <f>TRIM(MID($A198,L$3,L$4-L$3))</f>
        <v/>
      </c>
      <c r="M198" s="6" t="str">
        <f>TRIM(MID($A198,M$3,M$4-M$3))</f>
        <v/>
      </c>
    </row>
    <row r="199" spans="1:13" x14ac:dyDescent="0.4">
      <c r="A199" s="10"/>
      <c r="B199" s="7"/>
      <c r="C199" s="6" t="str">
        <f>TRIM(MID($A199,C$3,C$4-C$3))</f>
        <v/>
      </c>
      <c r="D199" s="6" t="str">
        <f>TRIM(MID($A199,D$3,D$4-D$3))</f>
        <v/>
      </c>
      <c r="E199" s="6" t="str">
        <f>TRIM(MID($A199,E$3,E$4-E$3))</f>
        <v/>
      </c>
      <c r="F199" s="11" t="str">
        <f>TRIM(MID($A199,F$3,F$4-F$3))</f>
        <v/>
      </c>
      <c r="G199" s="11" t="str">
        <f>TRIM(MID($A199,G$3,G$4-G$3))</f>
        <v/>
      </c>
      <c r="H199" s="11" t="str">
        <f>TRIM(MID($A199,H$3,H$4-H$3))</f>
        <v/>
      </c>
      <c r="I199" s="11" t="str">
        <f>TRIM(MID($A199,I$3,I$4-I$3))</f>
        <v/>
      </c>
      <c r="J199" s="11" t="str">
        <f>TRIM(MID($A199,J$3,J$4-J$3))</f>
        <v/>
      </c>
      <c r="K199" s="11" t="str">
        <f>TRIM(MID($A199,K$3,K$4-K$3))</f>
        <v/>
      </c>
      <c r="L199" s="11" t="str">
        <f>TRIM(MID($A199,L$3,L$4-L$3))</f>
        <v/>
      </c>
      <c r="M199" s="6" t="str">
        <f>TRIM(MID($A199,M$3,M$4-M$3))</f>
        <v/>
      </c>
    </row>
    <row r="200" spans="1:13" x14ac:dyDescent="0.4">
      <c r="A200" s="46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99"/>
  <sheetViews>
    <sheetView showGridLines="0" workbookViewId="0">
      <pane xSplit="1" ySplit="1" topLeftCell="B2" activePane="bottomRight" state="frozen"/>
      <selection activeCell="A7" sqref="A7"/>
      <selection pane="topRight" activeCell="A7" sqref="A7"/>
      <selection pane="bottomLeft" activeCell="A7" sqref="A7"/>
      <selection pane="bottomRight" activeCell="B2" sqref="B2"/>
    </sheetView>
  </sheetViews>
  <sheetFormatPr defaultRowHeight="12" customHeight="1" x14ac:dyDescent="0.4"/>
  <cols>
    <col min="1" max="1" width="19.5546875" style="3" customWidth="1"/>
    <col min="2" max="2" width="0.21875" style="3" customWidth="1"/>
    <col min="3" max="3" width="3.77734375" style="3" customWidth="1"/>
    <col min="4" max="4" width="66.44140625" style="3" bestFit="1" customWidth="1"/>
    <col min="5" max="5" width="51.5546875" style="3" customWidth="1"/>
    <col min="6" max="7" width="10.21875" style="4" customWidth="1"/>
    <col min="8" max="16384" width="8.88671875" style="3"/>
  </cols>
  <sheetData>
    <row r="1" spans="1:7" s="1" customFormat="1" ht="28.2" customHeight="1" x14ac:dyDescent="0.4">
      <c r="A1" s="29" t="s">
        <v>6</v>
      </c>
      <c r="B1" s="7"/>
      <c r="C1" s="29" t="s">
        <v>2</v>
      </c>
      <c r="D1" s="29" t="s">
        <v>1</v>
      </c>
      <c r="E1" s="29" t="s">
        <v>0</v>
      </c>
      <c r="F1" s="35" t="s">
        <v>52</v>
      </c>
      <c r="G1" s="35" t="s">
        <v>49</v>
      </c>
    </row>
    <row r="2" spans="1:7" s="2" customFormat="1" ht="12" customHeight="1" x14ac:dyDescent="0.4">
      <c r="A2" s="20" t="s">
        <v>41</v>
      </c>
      <c r="B2" s="7"/>
      <c r="C2" s="9">
        <f t="shared" ref="C2:C33" ca="1" si="0">IF(
    OR(
        $A2="",
        OFFSET($A2,-1,0)=""
    ),
    "",
    IF(
        OFFSET($A2,-1,0)=$A$1,
        1,
        OFFSET($C2,-1,0)+1
    )
)</f>
        <v>1</v>
      </c>
      <c r="D2" s="9" t="str">
        <f>[1]!splitstr($A2," - ",COLUMNS($D:D)-1)</f>
        <v>Selena Serrano &amp; Pressure</v>
      </c>
      <c r="E2" s="9" t="str">
        <f>[1]!splitstr($A2," - ",COLUMNS($D:E)-1)</f>
        <v>Love Me Right (Minor Riddim)</v>
      </c>
      <c r="F2" s="8" t="str">
        <f>[1]!splitstr($A2," - ",COLUMNS($D:F)-1)</f>
        <v>0:00:00</v>
      </c>
      <c r="G2" s="19">
        <f>IF(F2="","",TIMEVALUE(F2))</f>
        <v>0</v>
      </c>
    </row>
    <row r="3" spans="1:7" s="2" customFormat="1" ht="12" customHeight="1" x14ac:dyDescent="0.4">
      <c r="A3" s="20" t="s">
        <v>42</v>
      </c>
      <c r="B3" s="7" t="s">
        <v>9</v>
      </c>
      <c r="C3" s="9">
        <f t="shared" ca="1" si="0"/>
        <v>2</v>
      </c>
      <c r="D3" s="9" t="str">
        <f>[1]!splitstr($A3," - ",COLUMNS($D:D)-1)</f>
        <v>Fiji</v>
      </c>
      <c r="E3" s="9" t="str">
        <f>[1]!splitstr($A3," - ",COLUMNS($D:E)-1)</f>
        <v>Send Me an Angel (Minor Riddim)</v>
      </c>
      <c r="F3" s="8" t="str">
        <f>[1]!splitstr($A3," - ",COLUMNS($D:F)-1)</f>
        <v>0:01:27</v>
      </c>
      <c r="G3" s="19">
        <f t="shared" ref="G3:G66" si="1">IF(F3="","",TIMEVALUE(F3))</f>
        <v>1.0069444444444444E-3</v>
      </c>
    </row>
    <row r="4" spans="1:7" s="2" customFormat="1" ht="12" customHeight="1" x14ac:dyDescent="0.4">
      <c r="A4" s="20" t="s">
        <v>43</v>
      </c>
      <c r="B4" s="7" t="s">
        <v>9</v>
      </c>
      <c r="C4" s="9">
        <f t="shared" ca="1" si="0"/>
        <v>3</v>
      </c>
      <c r="D4" s="9" t="str">
        <f>[1]!splitstr($A4," - ",COLUMNS($D:D)-1)</f>
        <v>Vybz Kartel</v>
      </c>
      <c r="E4" s="9" t="str">
        <f>[1]!splitstr($A4," - ",COLUMNS($D:E)-1)</f>
        <v>A Like That (Minor Riddim)</v>
      </c>
      <c r="F4" s="8" t="str">
        <f>[1]!splitstr($A4," - ",COLUMNS($D:F)-1)</f>
        <v>0:02:30</v>
      </c>
      <c r="G4" s="19">
        <f t="shared" si="1"/>
        <v>1.736111111111111E-3</v>
      </c>
    </row>
    <row r="5" spans="1:7" s="2" customFormat="1" ht="12" customHeight="1" x14ac:dyDescent="0.4">
      <c r="A5" s="20" t="s">
        <v>44</v>
      </c>
      <c r="B5" s="7" t="s">
        <v>9</v>
      </c>
      <c r="C5" s="9">
        <f t="shared" ca="1" si="0"/>
        <v>4</v>
      </c>
      <c r="D5" s="9" t="str">
        <f>[1]!splitstr($A5," - ",COLUMNS($D:D)-1)</f>
        <v>LP</v>
      </c>
      <c r="E5" s="9" t="str">
        <f>[1]!splitstr($A5," - ",COLUMNS($D:E)-1)</f>
        <v>Name &amp; Number (Minor Riddim)</v>
      </c>
      <c r="F5" s="8" t="str">
        <f>[1]!splitstr($A5," - ",COLUMNS($D:F)-1)</f>
        <v>0:03:35</v>
      </c>
      <c r="G5" s="19">
        <f t="shared" si="1"/>
        <v>2.488425925925926E-3</v>
      </c>
    </row>
    <row r="6" spans="1:7" s="2" customFormat="1" ht="12" customHeight="1" x14ac:dyDescent="0.4">
      <c r="A6" s="20" t="s">
        <v>45</v>
      </c>
      <c r="B6" s="7" t="s">
        <v>9</v>
      </c>
      <c r="C6" s="9">
        <f t="shared" ca="1" si="0"/>
        <v>5</v>
      </c>
      <c r="D6" s="9" t="str">
        <f>[1]!splitstr($A6," - ",COLUMNS($D:D)-1)</f>
        <v>Lutan Fyah</v>
      </c>
      <c r="E6" s="9" t="str">
        <f>[1]!splitstr($A6," - ",COLUMNS($D:E)-1)</f>
        <v>Over Come Dem (Minor Riddim)</v>
      </c>
      <c r="F6" s="8" t="str">
        <f>[1]!splitstr($A6," - ",COLUMNS($D:F)-1)</f>
        <v>0:04:37</v>
      </c>
      <c r="G6" s="19">
        <f t="shared" si="1"/>
        <v>3.2060185185185191E-3</v>
      </c>
    </row>
    <row r="7" spans="1:7" s="2" customFormat="1" ht="12" customHeight="1" x14ac:dyDescent="0.4">
      <c r="A7" s="20" t="s">
        <v>46</v>
      </c>
      <c r="B7" s="7" t="s">
        <v>9</v>
      </c>
      <c r="C7" s="9">
        <f t="shared" ca="1" si="0"/>
        <v>6</v>
      </c>
      <c r="D7" s="9" t="str">
        <f>[1]!splitstr($A7," - ",COLUMNS($D:D)-1)</f>
        <v>Protoje</v>
      </c>
      <c r="E7" s="9" t="str">
        <f>[1]!splitstr($A7," - ",COLUMNS($D:E)-1)</f>
        <v>Roll (Minor Riddim)</v>
      </c>
      <c r="F7" s="8" t="str">
        <f>[1]!splitstr($A7," - ",COLUMNS($D:F)-1)</f>
        <v>0:05:41</v>
      </c>
      <c r="G7" s="19">
        <f t="shared" si="1"/>
        <v>3.9467592592592592E-3</v>
      </c>
    </row>
    <row r="8" spans="1:7" s="2" customFormat="1" ht="12" customHeight="1" x14ac:dyDescent="0.4">
      <c r="A8" s="20" t="s">
        <v>47</v>
      </c>
      <c r="B8" s="7" t="s">
        <v>9</v>
      </c>
      <c r="C8" s="9">
        <f t="shared" ca="1" si="0"/>
        <v>7</v>
      </c>
      <c r="D8" s="9" t="str">
        <f>[1]!splitstr($A8," - ",COLUMNS($D:D)-1)</f>
        <v>Toi</v>
      </c>
      <c r="E8" s="9" t="str">
        <f>[1]!splitstr($A8," - ",COLUMNS($D:E)-1)</f>
        <v>Love Like This (Minor Riddim)</v>
      </c>
      <c r="F8" s="8" t="str">
        <f>[1]!splitstr($A8," - ",COLUMNS($D:F)-1)</f>
        <v>0:06:45</v>
      </c>
      <c r="G8" s="19">
        <f t="shared" si="1"/>
        <v>4.6874999999999998E-3</v>
      </c>
    </row>
    <row r="9" spans="1:7" s="2" customFormat="1" ht="12" customHeight="1" x14ac:dyDescent="0.4">
      <c r="A9" s="20" t="s">
        <v>48</v>
      </c>
      <c r="B9" s="7" t="s">
        <v>9</v>
      </c>
      <c r="C9" s="9">
        <f t="shared" ca="1" si="0"/>
        <v>8</v>
      </c>
      <c r="D9" s="9" t="str">
        <f>[1]!splitstr($A9," - ",COLUMNS($D:D)-1)</f>
        <v>Tami Chynn</v>
      </c>
      <c r="E9" s="9" t="str">
        <f>[1]!splitstr($A9," - ",COLUMNS($D:E)-1)</f>
        <v>Forbidden Love (Minor Riddim)</v>
      </c>
      <c r="F9" s="8" t="str">
        <f>[1]!splitstr($A9," - ",COLUMNS($D:F)-1)</f>
        <v>0:07:47</v>
      </c>
      <c r="G9" s="19">
        <f t="shared" si="1"/>
        <v>5.4050925925925924E-3</v>
      </c>
    </row>
    <row r="10" spans="1:7" s="2" customFormat="1" ht="12" customHeight="1" x14ac:dyDescent="0.4">
      <c r="A10" s="20"/>
      <c r="B10" s="7" t="s">
        <v>9</v>
      </c>
      <c r="C10" s="9" t="str">
        <f t="shared" ca="1" si="0"/>
        <v/>
      </c>
      <c r="D10" s="9" t="str">
        <f>[1]!splitstr($A10," - ",COLUMNS($D:D)-1)</f>
        <v/>
      </c>
      <c r="E10" s="9" t="str">
        <f>[1]!splitstr($A10," - ",COLUMNS($D:E)-1)</f>
        <v/>
      </c>
      <c r="F10" s="8" t="str">
        <f>[1]!splitstr($A10," - ",COLUMNS($D:F)-1)</f>
        <v/>
      </c>
      <c r="G10" s="19" t="str">
        <f t="shared" si="1"/>
        <v/>
      </c>
    </row>
    <row r="11" spans="1:7" s="2" customFormat="1" ht="12" customHeight="1" x14ac:dyDescent="0.4">
      <c r="A11" s="20"/>
      <c r="B11" s="7" t="s">
        <v>9</v>
      </c>
      <c r="C11" s="9" t="str">
        <f t="shared" ca="1" si="0"/>
        <v/>
      </c>
      <c r="D11" s="9" t="str">
        <f>[1]!splitstr($A11," - ",COLUMNS($D:D)-1)</f>
        <v/>
      </c>
      <c r="E11" s="9" t="str">
        <f>[1]!splitstr($A11," - ",COLUMNS($D:E)-1)</f>
        <v/>
      </c>
      <c r="F11" s="8" t="str">
        <f>[1]!splitstr($A11," - ",COLUMNS($D:F)-1)</f>
        <v/>
      </c>
      <c r="G11" s="19" t="str">
        <f t="shared" si="1"/>
        <v/>
      </c>
    </row>
    <row r="12" spans="1:7" s="2" customFormat="1" ht="12" customHeight="1" x14ac:dyDescent="0.4">
      <c r="A12" s="20"/>
      <c r="B12" s="7" t="s">
        <v>9</v>
      </c>
      <c r="C12" s="9" t="str">
        <f t="shared" ca="1" si="0"/>
        <v/>
      </c>
      <c r="D12" s="9" t="str">
        <f>[1]!splitstr($A12," - ",COLUMNS($D:D)-1)</f>
        <v/>
      </c>
      <c r="E12" s="9" t="str">
        <f>[1]!splitstr($A12," - ",COLUMNS($D:E)-1)</f>
        <v/>
      </c>
      <c r="F12" s="8" t="str">
        <f>[1]!splitstr($A12," - ",COLUMNS($D:F)-1)</f>
        <v/>
      </c>
      <c r="G12" s="19" t="str">
        <f t="shared" si="1"/>
        <v/>
      </c>
    </row>
    <row r="13" spans="1:7" s="2" customFormat="1" ht="12" customHeight="1" x14ac:dyDescent="0.4">
      <c r="A13" s="20"/>
      <c r="B13" s="7" t="s">
        <v>9</v>
      </c>
      <c r="C13" s="9" t="str">
        <f t="shared" ca="1" si="0"/>
        <v/>
      </c>
      <c r="D13" s="9" t="str">
        <f>[1]!splitstr($A13," - ",COLUMNS($D:D)-1)</f>
        <v/>
      </c>
      <c r="E13" s="9" t="str">
        <f>[1]!splitstr($A13," - ",COLUMNS($D:E)-1)</f>
        <v/>
      </c>
      <c r="F13" s="8" t="str">
        <f>[1]!splitstr($A13," - ",COLUMNS($D:F)-1)</f>
        <v/>
      </c>
      <c r="G13" s="19" t="str">
        <f t="shared" si="1"/>
        <v/>
      </c>
    </row>
    <row r="14" spans="1:7" s="2" customFormat="1" ht="12" customHeight="1" x14ac:dyDescent="0.4">
      <c r="A14" s="20"/>
      <c r="B14" s="7" t="s">
        <v>9</v>
      </c>
      <c r="C14" s="9" t="str">
        <f t="shared" ca="1" si="0"/>
        <v/>
      </c>
      <c r="D14" s="9" t="str">
        <f>[1]!splitstr($A14," - ",COLUMNS($D:D)-1)</f>
        <v/>
      </c>
      <c r="E14" s="9" t="str">
        <f>[1]!splitstr($A14," - ",COLUMNS($D:E)-1)</f>
        <v/>
      </c>
      <c r="F14" s="8" t="str">
        <f>[1]!splitstr($A14," - ",COLUMNS($D:F)-1)</f>
        <v/>
      </c>
      <c r="G14" s="19" t="str">
        <f t="shared" si="1"/>
        <v/>
      </c>
    </row>
    <row r="15" spans="1:7" s="2" customFormat="1" ht="12" customHeight="1" x14ac:dyDescent="0.4">
      <c r="A15" s="20"/>
      <c r="B15" s="7" t="s">
        <v>9</v>
      </c>
      <c r="C15" s="9" t="str">
        <f t="shared" ca="1" si="0"/>
        <v/>
      </c>
      <c r="D15" s="9" t="str">
        <f>[1]!splitstr($A15," - ",COLUMNS($D:D)-1)</f>
        <v/>
      </c>
      <c r="E15" s="9" t="str">
        <f>[1]!splitstr($A15," - ",COLUMNS($D:E)-1)</f>
        <v/>
      </c>
      <c r="F15" s="8" t="str">
        <f>[1]!splitstr($A15," - ",COLUMNS($D:F)-1)</f>
        <v/>
      </c>
      <c r="G15" s="19" t="str">
        <f t="shared" si="1"/>
        <v/>
      </c>
    </row>
    <row r="16" spans="1:7" s="2" customFormat="1" ht="12" customHeight="1" x14ac:dyDescent="0.4">
      <c r="A16" s="20"/>
      <c r="B16" s="7" t="s">
        <v>9</v>
      </c>
      <c r="C16" s="9" t="str">
        <f t="shared" ca="1" si="0"/>
        <v/>
      </c>
      <c r="D16" s="9" t="str">
        <f>[1]!splitstr($A16," - ",COLUMNS($D:D)-1)</f>
        <v/>
      </c>
      <c r="E16" s="9" t="str">
        <f>[1]!splitstr($A16," - ",COLUMNS($D:E)-1)</f>
        <v/>
      </c>
      <c r="F16" s="8" t="str">
        <f>[1]!splitstr($A16," - ",COLUMNS($D:F)-1)</f>
        <v/>
      </c>
      <c r="G16" s="19" t="str">
        <f t="shared" si="1"/>
        <v/>
      </c>
    </row>
    <row r="17" spans="1:7" s="2" customFormat="1" ht="12" customHeight="1" x14ac:dyDescent="0.4">
      <c r="A17" s="20"/>
      <c r="B17" s="7" t="s">
        <v>9</v>
      </c>
      <c r="C17" s="9" t="str">
        <f t="shared" ca="1" si="0"/>
        <v/>
      </c>
      <c r="D17" s="9" t="str">
        <f>[1]!splitstr($A17," - ",COLUMNS($D:D)-1)</f>
        <v/>
      </c>
      <c r="E17" s="9" t="str">
        <f>[1]!splitstr($A17," - ",COLUMNS($D:E)-1)</f>
        <v/>
      </c>
      <c r="F17" s="8" t="str">
        <f>[1]!splitstr($A17," - ",COLUMNS($D:F)-1)</f>
        <v/>
      </c>
      <c r="G17" s="19" t="str">
        <f t="shared" si="1"/>
        <v/>
      </c>
    </row>
    <row r="18" spans="1:7" s="2" customFormat="1" ht="12" customHeight="1" x14ac:dyDescent="0.4">
      <c r="A18" s="20"/>
      <c r="B18" s="7" t="s">
        <v>9</v>
      </c>
      <c r="C18" s="9" t="str">
        <f t="shared" ca="1" si="0"/>
        <v/>
      </c>
      <c r="D18" s="9" t="str">
        <f>[1]!splitstr($A18," - ",COLUMNS($D:D)-1)</f>
        <v/>
      </c>
      <c r="E18" s="9" t="str">
        <f>[1]!splitstr($A18," - ",COLUMNS($D:E)-1)</f>
        <v/>
      </c>
      <c r="F18" s="8" t="str">
        <f>[1]!splitstr($A18," - ",COLUMNS($D:F)-1)</f>
        <v/>
      </c>
      <c r="G18" s="19" t="str">
        <f t="shared" si="1"/>
        <v/>
      </c>
    </row>
    <row r="19" spans="1:7" s="2" customFormat="1" ht="12" customHeight="1" x14ac:dyDescent="0.4">
      <c r="A19" s="20"/>
      <c r="B19" s="7" t="s">
        <v>9</v>
      </c>
      <c r="C19" s="9" t="str">
        <f t="shared" ca="1" si="0"/>
        <v/>
      </c>
      <c r="D19" s="9" t="str">
        <f>[1]!splitstr($A19," - ",COLUMNS($D:D)-1)</f>
        <v/>
      </c>
      <c r="E19" s="9" t="str">
        <f>[1]!splitstr($A19," - ",COLUMNS($D:E)-1)</f>
        <v/>
      </c>
      <c r="F19" s="8" t="str">
        <f>[1]!splitstr($A19," - ",COLUMNS($D:F)-1)</f>
        <v/>
      </c>
      <c r="G19" s="19" t="str">
        <f t="shared" si="1"/>
        <v/>
      </c>
    </row>
    <row r="20" spans="1:7" s="2" customFormat="1" ht="12" customHeight="1" x14ac:dyDescent="0.4">
      <c r="A20" s="20"/>
      <c r="B20" s="7" t="s">
        <v>9</v>
      </c>
      <c r="C20" s="9" t="str">
        <f t="shared" ca="1" si="0"/>
        <v/>
      </c>
      <c r="D20" s="9" t="str">
        <f>[1]!splitstr($A20," - ",COLUMNS($D:D)-1)</f>
        <v/>
      </c>
      <c r="E20" s="9" t="str">
        <f>[1]!splitstr($A20," - ",COLUMNS($D:E)-1)</f>
        <v/>
      </c>
      <c r="F20" s="8" t="str">
        <f>[1]!splitstr($A20," - ",COLUMNS($D:F)-1)</f>
        <v/>
      </c>
      <c r="G20" s="19" t="str">
        <f t="shared" si="1"/>
        <v/>
      </c>
    </row>
    <row r="21" spans="1:7" s="2" customFormat="1" ht="12" customHeight="1" x14ac:dyDescent="0.4">
      <c r="A21" s="20"/>
      <c r="B21" s="7" t="s">
        <v>9</v>
      </c>
      <c r="C21" s="9" t="str">
        <f t="shared" ca="1" si="0"/>
        <v/>
      </c>
      <c r="D21" s="9" t="str">
        <f>[1]!splitstr($A21," - ",COLUMNS($D:D)-1)</f>
        <v/>
      </c>
      <c r="E21" s="9" t="str">
        <f>[1]!splitstr($A21," - ",COLUMNS($D:E)-1)</f>
        <v/>
      </c>
      <c r="F21" s="8" t="str">
        <f>[1]!splitstr($A21," - ",COLUMNS($D:F)-1)</f>
        <v/>
      </c>
      <c r="G21" s="19" t="str">
        <f t="shared" si="1"/>
        <v/>
      </c>
    </row>
    <row r="22" spans="1:7" s="2" customFormat="1" ht="12" customHeight="1" x14ac:dyDescent="0.4">
      <c r="A22" s="20"/>
      <c r="B22" s="7" t="s">
        <v>9</v>
      </c>
      <c r="C22" s="9" t="str">
        <f t="shared" ca="1" si="0"/>
        <v/>
      </c>
      <c r="D22" s="9" t="str">
        <f>[1]!splitstr($A22," - ",COLUMNS($D:D)-1)</f>
        <v/>
      </c>
      <c r="E22" s="9" t="str">
        <f>[1]!splitstr($A22," - ",COLUMNS($D:E)-1)</f>
        <v/>
      </c>
      <c r="F22" s="8" t="str">
        <f>[1]!splitstr($A22," - ",COLUMNS($D:F)-1)</f>
        <v/>
      </c>
      <c r="G22" s="19" t="str">
        <f t="shared" si="1"/>
        <v/>
      </c>
    </row>
    <row r="23" spans="1:7" s="2" customFormat="1" ht="12" customHeight="1" x14ac:dyDescent="0.4">
      <c r="A23" s="20"/>
      <c r="B23" s="7" t="s">
        <v>9</v>
      </c>
      <c r="C23" s="9" t="str">
        <f t="shared" ca="1" si="0"/>
        <v/>
      </c>
      <c r="D23" s="9" t="str">
        <f>[1]!splitstr($A23," - ",COLUMNS($D:D)-1)</f>
        <v/>
      </c>
      <c r="E23" s="9" t="str">
        <f>[1]!splitstr($A23," - ",COLUMNS($D:E)-1)</f>
        <v/>
      </c>
      <c r="F23" s="8" t="str">
        <f>[1]!splitstr($A23," - ",COLUMNS($D:F)-1)</f>
        <v/>
      </c>
      <c r="G23" s="19" t="str">
        <f t="shared" si="1"/>
        <v/>
      </c>
    </row>
    <row r="24" spans="1:7" s="2" customFormat="1" ht="12" customHeight="1" x14ac:dyDescent="0.4">
      <c r="A24" s="20"/>
      <c r="B24" s="7" t="s">
        <v>9</v>
      </c>
      <c r="C24" s="9" t="str">
        <f t="shared" ca="1" si="0"/>
        <v/>
      </c>
      <c r="D24" s="9" t="str">
        <f>[1]!splitstr($A24," - ",COLUMNS($D:D)-1)</f>
        <v/>
      </c>
      <c r="E24" s="9" t="str">
        <f>[1]!splitstr($A24," - ",COLUMNS($D:E)-1)</f>
        <v/>
      </c>
      <c r="F24" s="8" t="str">
        <f>[1]!splitstr($A24," - ",COLUMNS($D:F)-1)</f>
        <v/>
      </c>
      <c r="G24" s="19" t="str">
        <f t="shared" si="1"/>
        <v/>
      </c>
    </row>
    <row r="25" spans="1:7" s="2" customFormat="1" ht="12" customHeight="1" x14ac:dyDescent="0.4">
      <c r="A25" s="20"/>
      <c r="B25" s="7" t="s">
        <v>9</v>
      </c>
      <c r="C25" s="9" t="str">
        <f t="shared" ca="1" si="0"/>
        <v/>
      </c>
      <c r="D25" s="9" t="str">
        <f>[1]!splitstr($A25," - ",COLUMNS($D:D)-1)</f>
        <v/>
      </c>
      <c r="E25" s="9" t="str">
        <f>[1]!splitstr($A25," - ",COLUMNS($D:E)-1)</f>
        <v/>
      </c>
      <c r="F25" s="8" t="str">
        <f>[1]!splitstr($A25," - ",COLUMNS($D:F)-1)</f>
        <v/>
      </c>
      <c r="G25" s="19" t="str">
        <f t="shared" si="1"/>
        <v/>
      </c>
    </row>
    <row r="26" spans="1:7" s="2" customFormat="1" ht="12" customHeight="1" x14ac:dyDescent="0.4">
      <c r="A26" s="20"/>
      <c r="B26" s="7" t="s">
        <v>9</v>
      </c>
      <c r="C26" s="9" t="str">
        <f t="shared" ca="1" si="0"/>
        <v/>
      </c>
      <c r="D26" s="9" t="str">
        <f>[1]!splitstr($A26," - ",COLUMNS($D:D)-1)</f>
        <v/>
      </c>
      <c r="E26" s="9" t="str">
        <f>[1]!splitstr($A26," - ",COLUMNS($D:E)-1)</f>
        <v/>
      </c>
      <c r="F26" s="8" t="str">
        <f>[1]!splitstr($A26," - ",COLUMNS($D:F)-1)</f>
        <v/>
      </c>
      <c r="G26" s="19" t="str">
        <f t="shared" si="1"/>
        <v/>
      </c>
    </row>
    <row r="27" spans="1:7" s="2" customFormat="1" ht="12" customHeight="1" x14ac:dyDescent="0.4">
      <c r="A27" s="20"/>
      <c r="B27" s="7" t="s">
        <v>9</v>
      </c>
      <c r="C27" s="9" t="str">
        <f t="shared" ca="1" si="0"/>
        <v/>
      </c>
      <c r="D27" s="9" t="str">
        <f>[1]!splitstr($A27," - ",COLUMNS($D:D)-1)</f>
        <v/>
      </c>
      <c r="E27" s="9" t="str">
        <f>[1]!splitstr($A27," - ",COLUMNS($D:E)-1)</f>
        <v/>
      </c>
      <c r="F27" s="8" t="str">
        <f>[1]!splitstr($A27," - ",COLUMNS($D:F)-1)</f>
        <v/>
      </c>
      <c r="G27" s="19" t="str">
        <f t="shared" si="1"/>
        <v/>
      </c>
    </row>
    <row r="28" spans="1:7" s="2" customFormat="1" ht="12" customHeight="1" x14ac:dyDescent="0.4">
      <c r="A28" s="20"/>
      <c r="B28" s="7" t="s">
        <v>9</v>
      </c>
      <c r="C28" s="9" t="str">
        <f t="shared" ca="1" si="0"/>
        <v/>
      </c>
      <c r="D28" s="9" t="str">
        <f>[1]!splitstr($A28," - ",COLUMNS($D:D)-1)</f>
        <v/>
      </c>
      <c r="E28" s="9" t="str">
        <f>[1]!splitstr($A28," - ",COLUMNS($D:E)-1)</f>
        <v/>
      </c>
      <c r="F28" s="8" t="str">
        <f>[1]!splitstr($A28," - ",COLUMNS($D:F)-1)</f>
        <v/>
      </c>
      <c r="G28" s="19" t="str">
        <f t="shared" si="1"/>
        <v/>
      </c>
    </row>
    <row r="29" spans="1:7" s="2" customFormat="1" ht="12" customHeight="1" x14ac:dyDescent="0.4">
      <c r="A29" s="20"/>
      <c r="B29" s="7" t="s">
        <v>9</v>
      </c>
      <c r="C29" s="9" t="str">
        <f t="shared" ca="1" si="0"/>
        <v/>
      </c>
      <c r="D29" s="9" t="str">
        <f>[1]!splitstr($A29," - ",COLUMNS($D:D)-1)</f>
        <v/>
      </c>
      <c r="E29" s="9" t="str">
        <f>[1]!splitstr($A29," - ",COLUMNS($D:E)-1)</f>
        <v/>
      </c>
      <c r="F29" s="8" t="str">
        <f>[1]!splitstr($A29," - ",COLUMNS($D:F)-1)</f>
        <v/>
      </c>
      <c r="G29" s="19" t="str">
        <f t="shared" si="1"/>
        <v/>
      </c>
    </row>
    <row r="30" spans="1:7" s="2" customFormat="1" ht="12" customHeight="1" x14ac:dyDescent="0.4">
      <c r="A30" s="20"/>
      <c r="B30" s="7" t="s">
        <v>9</v>
      </c>
      <c r="C30" s="9" t="str">
        <f t="shared" ca="1" si="0"/>
        <v/>
      </c>
      <c r="D30" s="9" t="str">
        <f>[1]!splitstr($A30," - ",COLUMNS($D:D)-1)</f>
        <v/>
      </c>
      <c r="E30" s="9" t="str">
        <f>[1]!splitstr($A30," - ",COLUMNS($D:E)-1)</f>
        <v/>
      </c>
      <c r="F30" s="8" t="str">
        <f>[1]!splitstr($A30," - ",COLUMNS($D:F)-1)</f>
        <v/>
      </c>
      <c r="G30" s="19" t="str">
        <f t="shared" si="1"/>
        <v/>
      </c>
    </row>
    <row r="31" spans="1:7" s="2" customFormat="1" ht="12" customHeight="1" x14ac:dyDescent="0.4">
      <c r="A31" s="20"/>
      <c r="B31" s="7" t="s">
        <v>9</v>
      </c>
      <c r="C31" s="9" t="str">
        <f t="shared" ca="1" si="0"/>
        <v/>
      </c>
      <c r="D31" s="9" t="str">
        <f>[1]!splitstr($A31," - ",COLUMNS($D:D)-1)</f>
        <v/>
      </c>
      <c r="E31" s="9" t="str">
        <f>[1]!splitstr($A31," - ",COLUMNS($D:E)-1)</f>
        <v/>
      </c>
      <c r="F31" s="8" t="str">
        <f>[1]!splitstr($A31," - ",COLUMNS($D:F)-1)</f>
        <v/>
      </c>
      <c r="G31" s="19" t="str">
        <f t="shared" si="1"/>
        <v/>
      </c>
    </row>
    <row r="32" spans="1:7" s="2" customFormat="1" ht="12" customHeight="1" x14ac:dyDescent="0.4">
      <c r="A32" s="20"/>
      <c r="B32" s="7" t="s">
        <v>9</v>
      </c>
      <c r="C32" s="9" t="str">
        <f t="shared" ca="1" si="0"/>
        <v/>
      </c>
      <c r="D32" s="9" t="str">
        <f>[1]!splitstr($A32," - ",COLUMNS($D:D)-1)</f>
        <v/>
      </c>
      <c r="E32" s="9" t="str">
        <f>[1]!splitstr($A32," - ",COLUMNS($D:E)-1)</f>
        <v/>
      </c>
      <c r="F32" s="8" t="str">
        <f>[1]!splitstr($A32," - ",COLUMNS($D:F)-1)</f>
        <v/>
      </c>
      <c r="G32" s="19" t="str">
        <f t="shared" si="1"/>
        <v/>
      </c>
    </row>
    <row r="33" spans="1:7" s="2" customFormat="1" ht="12" customHeight="1" x14ac:dyDescent="0.4">
      <c r="A33" s="20"/>
      <c r="B33" s="7" t="s">
        <v>9</v>
      </c>
      <c r="C33" s="9" t="str">
        <f t="shared" ca="1" si="0"/>
        <v/>
      </c>
      <c r="D33" s="9" t="str">
        <f>[1]!splitstr($A33," - ",COLUMNS($D:D)-1)</f>
        <v/>
      </c>
      <c r="E33" s="9" t="str">
        <f>[1]!splitstr($A33," - ",COLUMNS($D:E)-1)</f>
        <v/>
      </c>
      <c r="F33" s="8" t="str">
        <f>[1]!splitstr($A33," - ",COLUMNS($D:F)-1)</f>
        <v/>
      </c>
      <c r="G33" s="19" t="str">
        <f t="shared" si="1"/>
        <v/>
      </c>
    </row>
    <row r="34" spans="1:7" s="2" customFormat="1" ht="12" customHeight="1" x14ac:dyDescent="0.4">
      <c r="A34" s="20"/>
      <c r="B34" s="7" t="s">
        <v>9</v>
      </c>
      <c r="C34" s="9" t="str">
        <f t="shared" ref="C34:C65" ca="1" si="2">IF(
    OR(
        $A34="",
        OFFSET($A34,-1,0)=""
    ),
    "",
    IF(
        OFFSET($A34,-1,0)=$A$1,
        1,
        OFFSET($C34,-1,0)+1
    )
)</f>
        <v/>
      </c>
      <c r="D34" s="9" t="str">
        <f>[1]!splitstr($A34," - ",COLUMNS($D:D)-1)</f>
        <v/>
      </c>
      <c r="E34" s="9" t="str">
        <f>[1]!splitstr($A34," - ",COLUMNS($D:E)-1)</f>
        <v/>
      </c>
      <c r="F34" s="8" t="str">
        <f>[1]!splitstr($A34," - ",COLUMNS($D:F)-1)</f>
        <v/>
      </c>
      <c r="G34" s="19" t="str">
        <f t="shared" si="1"/>
        <v/>
      </c>
    </row>
    <row r="35" spans="1:7" s="2" customFormat="1" ht="12" customHeight="1" x14ac:dyDescent="0.4">
      <c r="A35" s="20"/>
      <c r="B35" s="7" t="s">
        <v>9</v>
      </c>
      <c r="C35" s="9" t="str">
        <f t="shared" ca="1" si="2"/>
        <v/>
      </c>
      <c r="D35" s="9" t="str">
        <f>[1]!splitstr($A35," - ",COLUMNS($D:D)-1)</f>
        <v/>
      </c>
      <c r="E35" s="9" t="str">
        <f>[1]!splitstr($A35," - ",COLUMNS($D:E)-1)</f>
        <v/>
      </c>
      <c r="F35" s="8" t="str">
        <f>[1]!splitstr($A35," - ",COLUMNS($D:F)-1)</f>
        <v/>
      </c>
      <c r="G35" s="19" t="str">
        <f t="shared" si="1"/>
        <v/>
      </c>
    </row>
    <row r="36" spans="1:7" s="2" customFormat="1" ht="12" customHeight="1" x14ac:dyDescent="0.4">
      <c r="A36" s="20"/>
      <c r="B36" s="7" t="s">
        <v>9</v>
      </c>
      <c r="C36" s="9" t="str">
        <f t="shared" ca="1" si="2"/>
        <v/>
      </c>
      <c r="D36" s="9" t="str">
        <f>[1]!splitstr($A36," - ",COLUMNS($D:D)-1)</f>
        <v/>
      </c>
      <c r="E36" s="9" t="str">
        <f>[1]!splitstr($A36," - ",COLUMNS($D:E)-1)</f>
        <v/>
      </c>
      <c r="F36" s="8" t="str">
        <f>[1]!splitstr($A36," - ",COLUMNS($D:F)-1)</f>
        <v/>
      </c>
      <c r="G36" s="19" t="str">
        <f t="shared" si="1"/>
        <v/>
      </c>
    </row>
    <row r="37" spans="1:7" s="2" customFormat="1" ht="12" customHeight="1" x14ac:dyDescent="0.4">
      <c r="A37" s="20"/>
      <c r="B37" s="7" t="s">
        <v>9</v>
      </c>
      <c r="C37" s="9" t="str">
        <f t="shared" ca="1" si="2"/>
        <v/>
      </c>
      <c r="D37" s="9" t="str">
        <f>[1]!splitstr($A37," - ",COLUMNS($D:D)-1)</f>
        <v/>
      </c>
      <c r="E37" s="9" t="str">
        <f>[1]!splitstr($A37," - ",COLUMNS($D:E)-1)</f>
        <v/>
      </c>
      <c r="F37" s="8" t="str">
        <f>[1]!splitstr($A37," - ",COLUMNS($D:F)-1)</f>
        <v/>
      </c>
      <c r="G37" s="19" t="str">
        <f t="shared" si="1"/>
        <v/>
      </c>
    </row>
    <row r="38" spans="1:7" s="2" customFormat="1" ht="12" customHeight="1" x14ac:dyDescent="0.4">
      <c r="A38" s="20"/>
      <c r="B38" s="7" t="s">
        <v>9</v>
      </c>
      <c r="C38" s="9" t="str">
        <f t="shared" ca="1" si="2"/>
        <v/>
      </c>
      <c r="D38" s="9" t="str">
        <f>[1]!splitstr($A38," - ",COLUMNS($D:D)-1)</f>
        <v/>
      </c>
      <c r="E38" s="9" t="str">
        <f>[1]!splitstr($A38," - ",COLUMNS($D:E)-1)</f>
        <v/>
      </c>
      <c r="F38" s="8" t="str">
        <f>[1]!splitstr($A38," - ",COLUMNS($D:F)-1)</f>
        <v/>
      </c>
      <c r="G38" s="19" t="str">
        <f t="shared" si="1"/>
        <v/>
      </c>
    </row>
    <row r="39" spans="1:7" s="2" customFormat="1" ht="12" customHeight="1" x14ac:dyDescent="0.4">
      <c r="A39" s="20"/>
      <c r="B39" s="7" t="s">
        <v>9</v>
      </c>
      <c r="C39" s="9" t="str">
        <f t="shared" ca="1" si="2"/>
        <v/>
      </c>
      <c r="D39" s="9" t="str">
        <f>[1]!splitstr($A39," - ",COLUMNS($D:D)-1)</f>
        <v/>
      </c>
      <c r="E39" s="9" t="str">
        <f>[1]!splitstr($A39," - ",COLUMNS($D:E)-1)</f>
        <v/>
      </c>
      <c r="F39" s="8" t="str">
        <f>[1]!splitstr($A39," - ",COLUMNS($D:F)-1)</f>
        <v/>
      </c>
      <c r="G39" s="19" t="str">
        <f t="shared" si="1"/>
        <v/>
      </c>
    </row>
    <row r="40" spans="1:7" s="2" customFormat="1" ht="12" customHeight="1" x14ac:dyDescent="0.4">
      <c r="A40" s="20"/>
      <c r="B40" s="7" t="s">
        <v>9</v>
      </c>
      <c r="C40" s="9" t="str">
        <f t="shared" ca="1" si="2"/>
        <v/>
      </c>
      <c r="D40" s="9" t="str">
        <f>[1]!splitstr($A40," - ",COLUMNS($D:D)-1)</f>
        <v/>
      </c>
      <c r="E40" s="9" t="str">
        <f>[1]!splitstr($A40," - ",COLUMNS($D:E)-1)</f>
        <v/>
      </c>
      <c r="F40" s="8" t="str">
        <f>[1]!splitstr($A40," - ",COLUMNS($D:F)-1)</f>
        <v/>
      </c>
      <c r="G40" s="19" t="str">
        <f t="shared" si="1"/>
        <v/>
      </c>
    </row>
    <row r="41" spans="1:7" s="2" customFormat="1" ht="12" customHeight="1" x14ac:dyDescent="0.4">
      <c r="A41" s="20"/>
      <c r="B41" s="7" t="s">
        <v>9</v>
      </c>
      <c r="C41" s="9" t="str">
        <f t="shared" ca="1" si="2"/>
        <v/>
      </c>
      <c r="D41" s="9" t="str">
        <f>[1]!splitstr($A41," - ",COLUMNS($D:D)-1)</f>
        <v/>
      </c>
      <c r="E41" s="9" t="str">
        <f>[1]!splitstr($A41," - ",COLUMNS($D:E)-1)</f>
        <v/>
      </c>
      <c r="F41" s="8" t="str">
        <f>[1]!splitstr($A41," - ",COLUMNS($D:F)-1)</f>
        <v/>
      </c>
      <c r="G41" s="19" t="str">
        <f t="shared" si="1"/>
        <v/>
      </c>
    </row>
    <row r="42" spans="1:7" s="2" customFormat="1" ht="12" customHeight="1" x14ac:dyDescent="0.4">
      <c r="A42" s="20"/>
      <c r="B42" s="7" t="s">
        <v>9</v>
      </c>
      <c r="C42" s="9" t="str">
        <f t="shared" ca="1" si="2"/>
        <v/>
      </c>
      <c r="D42" s="9" t="str">
        <f>[1]!splitstr($A42," - ",COLUMNS($D:D)-1)</f>
        <v/>
      </c>
      <c r="E42" s="9" t="str">
        <f>[1]!splitstr($A42," - ",COLUMNS($D:E)-1)</f>
        <v/>
      </c>
      <c r="F42" s="8" t="str">
        <f>[1]!splitstr($A42," - ",COLUMNS($D:F)-1)</f>
        <v/>
      </c>
      <c r="G42" s="19" t="str">
        <f t="shared" si="1"/>
        <v/>
      </c>
    </row>
    <row r="43" spans="1:7" s="2" customFormat="1" ht="12" customHeight="1" x14ac:dyDescent="0.4">
      <c r="A43" s="20"/>
      <c r="B43" s="7" t="s">
        <v>9</v>
      </c>
      <c r="C43" s="9" t="str">
        <f t="shared" ca="1" si="2"/>
        <v/>
      </c>
      <c r="D43" s="9" t="str">
        <f>[1]!splitstr($A43," - ",COLUMNS($D:D)-1)</f>
        <v/>
      </c>
      <c r="E43" s="9" t="str">
        <f>[1]!splitstr($A43," - ",COLUMNS($D:E)-1)</f>
        <v/>
      </c>
      <c r="F43" s="8" t="str">
        <f>[1]!splitstr($A43," - ",COLUMNS($D:F)-1)</f>
        <v/>
      </c>
      <c r="G43" s="19" t="str">
        <f t="shared" si="1"/>
        <v/>
      </c>
    </row>
    <row r="44" spans="1:7" s="2" customFormat="1" ht="12" customHeight="1" x14ac:dyDescent="0.4">
      <c r="A44" s="20"/>
      <c r="B44" s="7" t="s">
        <v>9</v>
      </c>
      <c r="C44" s="9" t="str">
        <f t="shared" ca="1" si="2"/>
        <v/>
      </c>
      <c r="D44" s="9" t="str">
        <f>[1]!splitstr($A44," - ",COLUMNS($D:D)-1)</f>
        <v/>
      </c>
      <c r="E44" s="9" t="str">
        <f>[1]!splitstr($A44," - ",COLUMNS($D:E)-1)</f>
        <v/>
      </c>
      <c r="F44" s="8" t="str">
        <f>[1]!splitstr($A44," - ",COLUMNS($D:F)-1)</f>
        <v/>
      </c>
      <c r="G44" s="19" t="str">
        <f t="shared" si="1"/>
        <v/>
      </c>
    </row>
    <row r="45" spans="1:7" s="2" customFormat="1" ht="12" customHeight="1" x14ac:dyDescent="0.4">
      <c r="A45" s="20"/>
      <c r="B45" s="7" t="s">
        <v>9</v>
      </c>
      <c r="C45" s="9" t="str">
        <f t="shared" ca="1" si="2"/>
        <v/>
      </c>
      <c r="D45" s="9" t="str">
        <f>[1]!splitstr($A45," - ",COLUMNS($D:D)-1)</f>
        <v/>
      </c>
      <c r="E45" s="9" t="str">
        <f>[1]!splitstr($A45," - ",COLUMNS($D:E)-1)</f>
        <v/>
      </c>
      <c r="F45" s="8" t="str">
        <f>[1]!splitstr($A45," - ",COLUMNS($D:F)-1)</f>
        <v/>
      </c>
      <c r="G45" s="19" t="str">
        <f t="shared" si="1"/>
        <v/>
      </c>
    </row>
    <row r="46" spans="1:7" s="2" customFormat="1" ht="12" customHeight="1" x14ac:dyDescent="0.4">
      <c r="A46" s="20"/>
      <c r="B46" s="7" t="s">
        <v>9</v>
      </c>
      <c r="C46" s="9" t="str">
        <f t="shared" ca="1" si="2"/>
        <v/>
      </c>
      <c r="D46" s="9" t="str">
        <f>[1]!splitstr($A46," - ",COLUMNS($D:D)-1)</f>
        <v/>
      </c>
      <c r="E46" s="9" t="str">
        <f>[1]!splitstr($A46," - ",COLUMNS($D:E)-1)</f>
        <v/>
      </c>
      <c r="F46" s="8" t="str">
        <f>[1]!splitstr($A46," - ",COLUMNS($D:F)-1)</f>
        <v/>
      </c>
      <c r="G46" s="19" t="str">
        <f t="shared" si="1"/>
        <v/>
      </c>
    </row>
    <row r="47" spans="1:7" s="2" customFormat="1" ht="12" customHeight="1" x14ac:dyDescent="0.4">
      <c r="A47" s="20"/>
      <c r="B47" s="7" t="s">
        <v>9</v>
      </c>
      <c r="C47" s="9" t="str">
        <f t="shared" ca="1" si="2"/>
        <v/>
      </c>
      <c r="D47" s="9" t="str">
        <f>[1]!splitstr($A47," - ",COLUMNS($D:D)-1)</f>
        <v/>
      </c>
      <c r="E47" s="9" t="str">
        <f>[1]!splitstr($A47," - ",COLUMNS($D:E)-1)</f>
        <v/>
      </c>
      <c r="F47" s="8" t="str">
        <f>[1]!splitstr($A47," - ",COLUMNS($D:F)-1)</f>
        <v/>
      </c>
      <c r="G47" s="19" t="str">
        <f t="shared" si="1"/>
        <v/>
      </c>
    </row>
    <row r="48" spans="1:7" s="2" customFormat="1" ht="12" customHeight="1" x14ac:dyDescent="0.4">
      <c r="A48" s="20"/>
      <c r="B48" s="7" t="s">
        <v>9</v>
      </c>
      <c r="C48" s="9" t="str">
        <f t="shared" ca="1" si="2"/>
        <v/>
      </c>
      <c r="D48" s="9" t="str">
        <f>[1]!splitstr($A48," - ",COLUMNS($D:D)-1)</f>
        <v/>
      </c>
      <c r="E48" s="9" t="str">
        <f>[1]!splitstr($A48," - ",COLUMNS($D:E)-1)</f>
        <v/>
      </c>
      <c r="F48" s="8" t="str">
        <f>[1]!splitstr($A48," - ",COLUMNS($D:F)-1)</f>
        <v/>
      </c>
      <c r="G48" s="19" t="str">
        <f t="shared" si="1"/>
        <v/>
      </c>
    </row>
    <row r="49" spans="1:7" s="2" customFormat="1" ht="12" customHeight="1" x14ac:dyDescent="0.4">
      <c r="A49" s="20"/>
      <c r="B49" s="7" t="s">
        <v>9</v>
      </c>
      <c r="C49" s="9" t="str">
        <f t="shared" ca="1" si="2"/>
        <v/>
      </c>
      <c r="D49" s="9" t="str">
        <f>[1]!splitstr($A49," - ",COLUMNS($D:D)-1)</f>
        <v/>
      </c>
      <c r="E49" s="9" t="str">
        <f>[1]!splitstr($A49," - ",COLUMNS($D:E)-1)</f>
        <v/>
      </c>
      <c r="F49" s="8" t="str">
        <f>[1]!splitstr($A49," - ",COLUMNS($D:F)-1)</f>
        <v/>
      </c>
      <c r="G49" s="19" t="str">
        <f t="shared" si="1"/>
        <v/>
      </c>
    </row>
    <row r="50" spans="1:7" s="2" customFormat="1" ht="12" customHeight="1" x14ac:dyDescent="0.4">
      <c r="A50" s="20"/>
      <c r="B50" s="7" t="s">
        <v>9</v>
      </c>
      <c r="C50" s="9" t="str">
        <f t="shared" ca="1" si="2"/>
        <v/>
      </c>
      <c r="D50" s="9" t="str">
        <f>[1]!splitstr($A50," - ",COLUMNS($D:D)-1)</f>
        <v/>
      </c>
      <c r="E50" s="9" t="str">
        <f>[1]!splitstr($A50," - ",COLUMNS($D:E)-1)</f>
        <v/>
      </c>
      <c r="F50" s="8" t="str">
        <f>[1]!splitstr($A50," - ",COLUMNS($D:F)-1)</f>
        <v/>
      </c>
      <c r="G50" s="19" t="str">
        <f t="shared" si="1"/>
        <v/>
      </c>
    </row>
    <row r="51" spans="1:7" s="2" customFormat="1" ht="12" customHeight="1" x14ac:dyDescent="0.4">
      <c r="A51" s="20"/>
      <c r="B51" s="7" t="s">
        <v>9</v>
      </c>
      <c r="C51" s="9" t="str">
        <f t="shared" ca="1" si="2"/>
        <v/>
      </c>
      <c r="D51" s="9" t="str">
        <f>[1]!splitstr($A51," - ",COLUMNS($D:D)-1)</f>
        <v/>
      </c>
      <c r="E51" s="9" t="str">
        <f>[1]!splitstr($A51," - ",COLUMNS($D:E)-1)</f>
        <v/>
      </c>
      <c r="F51" s="8" t="str">
        <f>[1]!splitstr($A51," - ",COLUMNS($D:F)-1)</f>
        <v/>
      </c>
      <c r="G51" s="19" t="str">
        <f t="shared" si="1"/>
        <v/>
      </c>
    </row>
    <row r="52" spans="1:7" s="2" customFormat="1" ht="12" customHeight="1" x14ac:dyDescent="0.4">
      <c r="A52" s="20"/>
      <c r="B52" s="7" t="s">
        <v>9</v>
      </c>
      <c r="C52" s="9" t="str">
        <f t="shared" ca="1" si="2"/>
        <v/>
      </c>
      <c r="D52" s="9" t="str">
        <f>[1]!splitstr($A52," - ",COLUMNS($D:D)-1)</f>
        <v/>
      </c>
      <c r="E52" s="9" t="str">
        <f>[1]!splitstr($A52," - ",COLUMNS($D:E)-1)</f>
        <v/>
      </c>
      <c r="F52" s="8" t="str">
        <f>[1]!splitstr($A52," - ",COLUMNS($D:F)-1)</f>
        <v/>
      </c>
      <c r="G52" s="19" t="str">
        <f t="shared" si="1"/>
        <v/>
      </c>
    </row>
    <row r="53" spans="1:7" s="2" customFormat="1" ht="12" customHeight="1" x14ac:dyDescent="0.4">
      <c r="A53" s="20"/>
      <c r="B53" s="7" t="s">
        <v>9</v>
      </c>
      <c r="C53" s="9" t="str">
        <f t="shared" ca="1" si="2"/>
        <v/>
      </c>
      <c r="D53" s="9" t="str">
        <f>[1]!splitstr($A53," - ",COLUMNS($D:D)-1)</f>
        <v/>
      </c>
      <c r="E53" s="9" t="str">
        <f>[1]!splitstr($A53," - ",COLUMNS($D:E)-1)</f>
        <v/>
      </c>
      <c r="F53" s="8" t="str">
        <f>[1]!splitstr($A53," - ",COLUMNS($D:F)-1)</f>
        <v/>
      </c>
      <c r="G53" s="19" t="str">
        <f t="shared" si="1"/>
        <v/>
      </c>
    </row>
    <row r="54" spans="1:7" s="2" customFormat="1" ht="12" customHeight="1" x14ac:dyDescent="0.4">
      <c r="A54" s="20"/>
      <c r="B54" s="7" t="s">
        <v>9</v>
      </c>
      <c r="C54" s="9" t="str">
        <f t="shared" ca="1" si="2"/>
        <v/>
      </c>
      <c r="D54" s="9" t="str">
        <f>[1]!splitstr($A54," - ",COLUMNS($D:D)-1)</f>
        <v/>
      </c>
      <c r="E54" s="9" t="str">
        <f>[1]!splitstr($A54," - ",COLUMNS($D:E)-1)</f>
        <v/>
      </c>
      <c r="F54" s="8" t="str">
        <f>[1]!splitstr($A54," - ",COLUMNS($D:F)-1)</f>
        <v/>
      </c>
      <c r="G54" s="19" t="str">
        <f t="shared" si="1"/>
        <v/>
      </c>
    </row>
    <row r="55" spans="1:7" s="2" customFormat="1" ht="12" customHeight="1" x14ac:dyDescent="0.4">
      <c r="A55" s="20"/>
      <c r="B55" s="7" t="s">
        <v>9</v>
      </c>
      <c r="C55" s="9" t="str">
        <f t="shared" ca="1" si="2"/>
        <v/>
      </c>
      <c r="D55" s="9" t="str">
        <f>[1]!splitstr($A55," - ",COLUMNS($D:D)-1)</f>
        <v/>
      </c>
      <c r="E55" s="9" t="str">
        <f>[1]!splitstr($A55," - ",COLUMNS($D:E)-1)</f>
        <v/>
      </c>
      <c r="F55" s="8" t="str">
        <f>[1]!splitstr($A55," - ",COLUMNS($D:F)-1)</f>
        <v/>
      </c>
      <c r="G55" s="19" t="str">
        <f t="shared" si="1"/>
        <v/>
      </c>
    </row>
    <row r="56" spans="1:7" s="2" customFormat="1" ht="12" customHeight="1" x14ac:dyDescent="0.4">
      <c r="A56" s="20"/>
      <c r="B56" s="7" t="s">
        <v>9</v>
      </c>
      <c r="C56" s="9" t="str">
        <f t="shared" ca="1" si="2"/>
        <v/>
      </c>
      <c r="D56" s="9" t="str">
        <f>[1]!splitstr($A56," - ",COLUMNS($D:D)-1)</f>
        <v/>
      </c>
      <c r="E56" s="9" t="str">
        <f>[1]!splitstr($A56," - ",COLUMNS($D:E)-1)</f>
        <v/>
      </c>
      <c r="F56" s="8" t="str">
        <f>[1]!splitstr($A56," - ",COLUMNS($D:F)-1)</f>
        <v/>
      </c>
      <c r="G56" s="19" t="str">
        <f t="shared" si="1"/>
        <v/>
      </c>
    </row>
    <row r="57" spans="1:7" s="2" customFormat="1" ht="12" customHeight="1" x14ac:dyDescent="0.4">
      <c r="A57" s="20"/>
      <c r="B57" s="7" t="s">
        <v>9</v>
      </c>
      <c r="C57" s="9" t="str">
        <f t="shared" ca="1" si="2"/>
        <v/>
      </c>
      <c r="D57" s="9" t="str">
        <f>[1]!splitstr($A57," - ",COLUMNS($D:D)-1)</f>
        <v/>
      </c>
      <c r="E57" s="9" t="str">
        <f>[1]!splitstr($A57," - ",COLUMNS($D:E)-1)</f>
        <v/>
      </c>
      <c r="F57" s="8" t="str">
        <f>[1]!splitstr($A57," - ",COLUMNS($D:F)-1)</f>
        <v/>
      </c>
      <c r="G57" s="19" t="str">
        <f t="shared" si="1"/>
        <v/>
      </c>
    </row>
    <row r="58" spans="1:7" s="2" customFormat="1" ht="12" customHeight="1" x14ac:dyDescent="0.4">
      <c r="A58" s="20"/>
      <c r="B58" s="7" t="s">
        <v>9</v>
      </c>
      <c r="C58" s="9" t="str">
        <f t="shared" ca="1" si="2"/>
        <v/>
      </c>
      <c r="D58" s="9" t="str">
        <f>[1]!splitstr($A58," - ",COLUMNS($D:D)-1)</f>
        <v/>
      </c>
      <c r="E58" s="9" t="str">
        <f>[1]!splitstr($A58," - ",COLUMNS($D:E)-1)</f>
        <v/>
      </c>
      <c r="F58" s="8" t="str">
        <f>[1]!splitstr($A58," - ",COLUMNS($D:F)-1)</f>
        <v/>
      </c>
      <c r="G58" s="19" t="str">
        <f t="shared" si="1"/>
        <v/>
      </c>
    </row>
    <row r="59" spans="1:7" s="2" customFormat="1" ht="12" customHeight="1" x14ac:dyDescent="0.4">
      <c r="A59" s="20"/>
      <c r="B59" s="7" t="s">
        <v>9</v>
      </c>
      <c r="C59" s="9" t="str">
        <f t="shared" ca="1" si="2"/>
        <v/>
      </c>
      <c r="D59" s="9" t="str">
        <f>[1]!splitstr($A59," - ",COLUMNS($D:D)-1)</f>
        <v/>
      </c>
      <c r="E59" s="9" t="str">
        <f>[1]!splitstr($A59," - ",COLUMNS($D:E)-1)</f>
        <v/>
      </c>
      <c r="F59" s="8" t="str">
        <f>[1]!splitstr($A59," - ",COLUMNS($D:F)-1)</f>
        <v/>
      </c>
      <c r="G59" s="19" t="str">
        <f t="shared" si="1"/>
        <v/>
      </c>
    </row>
    <row r="60" spans="1:7" s="2" customFormat="1" ht="12" customHeight="1" x14ac:dyDescent="0.4">
      <c r="A60" s="20"/>
      <c r="B60" s="7" t="s">
        <v>9</v>
      </c>
      <c r="C60" s="9" t="str">
        <f t="shared" ca="1" si="2"/>
        <v/>
      </c>
      <c r="D60" s="9" t="str">
        <f>[1]!splitstr($A60," - ",COLUMNS($D:D)-1)</f>
        <v/>
      </c>
      <c r="E60" s="9" t="str">
        <f>[1]!splitstr($A60," - ",COLUMNS($D:E)-1)</f>
        <v/>
      </c>
      <c r="F60" s="8" t="str">
        <f>[1]!splitstr($A60," - ",COLUMNS($D:F)-1)</f>
        <v/>
      </c>
      <c r="G60" s="19" t="str">
        <f t="shared" si="1"/>
        <v/>
      </c>
    </row>
    <row r="61" spans="1:7" s="2" customFormat="1" ht="12" customHeight="1" x14ac:dyDescent="0.4">
      <c r="A61" s="20"/>
      <c r="B61" s="7" t="s">
        <v>9</v>
      </c>
      <c r="C61" s="9" t="str">
        <f t="shared" ca="1" si="2"/>
        <v/>
      </c>
      <c r="D61" s="9" t="str">
        <f>[1]!splitstr($A61," - ",COLUMNS($D:D)-1)</f>
        <v/>
      </c>
      <c r="E61" s="9" t="str">
        <f>[1]!splitstr($A61," - ",COLUMNS($D:E)-1)</f>
        <v/>
      </c>
      <c r="F61" s="8" t="str">
        <f>[1]!splitstr($A61," - ",COLUMNS($D:F)-1)</f>
        <v/>
      </c>
      <c r="G61" s="19" t="str">
        <f t="shared" si="1"/>
        <v/>
      </c>
    </row>
    <row r="62" spans="1:7" s="2" customFormat="1" ht="12" customHeight="1" x14ac:dyDescent="0.4">
      <c r="A62" s="20"/>
      <c r="B62" s="7" t="s">
        <v>9</v>
      </c>
      <c r="C62" s="9" t="str">
        <f t="shared" ca="1" si="2"/>
        <v/>
      </c>
      <c r="D62" s="9" t="str">
        <f>[1]!splitstr($A62," - ",COLUMNS($D:D)-1)</f>
        <v/>
      </c>
      <c r="E62" s="9" t="str">
        <f>[1]!splitstr($A62," - ",COLUMNS($D:E)-1)</f>
        <v/>
      </c>
      <c r="F62" s="8" t="str">
        <f>[1]!splitstr($A62," - ",COLUMNS($D:F)-1)</f>
        <v/>
      </c>
      <c r="G62" s="19" t="str">
        <f t="shared" si="1"/>
        <v/>
      </c>
    </row>
    <row r="63" spans="1:7" s="2" customFormat="1" ht="12" customHeight="1" x14ac:dyDescent="0.4">
      <c r="A63" s="20"/>
      <c r="B63" s="7" t="s">
        <v>9</v>
      </c>
      <c r="C63" s="9" t="str">
        <f t="shared" ca="1" si="2"/>
        <v/>
      </c>
      <c r="D63" s="9" t="str">
        <f>[1]!splitstr($A63," - ",COLUMNS($D:D)-1)</f>
        <v/>
      </c>
      <c r="E63" s="9" t="str">
        <f>[1]!splitstr($A63," - ",COLUMNS($D:E)-1)</f>
        <v/>
      </c>
      <c r="F63" s="8" t="str">
        <f>[1]!splitstr($A63," - ",COLUMNS($D:F)-1)</f>
        <v/>
      </c>
      <c r="G63" s="19" t="str">
        <f t="shared" si="1"/>
        <v/>
      </c>
    </row>
    <row r="64" spans="1:7" s="2" customFormat="1" ht="12" customHeight="1" x14ac:dyDescent="0.4">
      <c r="A64" s="20"/>
      <c r="B64" s="7" t="s">
        <v>9</v>
      </c>
      <c r="C64" s="9" t="str">
        <f t="shared" ca="1" si="2"/>
        <v/>
      </c>
      <c r="D64" s="9" t="str">
        <f>[1]!splitstr($A64," - ",COLUMNS($D:D)-1)</f>
        <v/>
      </c>
      <c r="E64" s="9" t="str">
        <f>[1]!splitstr($A64," - ",COLUMNS($D:E)-1)</f>
        <v/>
      </c>
      <c r="F64" s="8" t="str">
        <f>[1]!splitstr($A64," - ",COLUMNS($D:F)-1)</f>
        <v/>
      </c>
      <c r="G64" s="19" t="str">
        <f t="shared" si="1"/>
        <v/>
      </c>
    </row>
    <row r="65" spans="1:7" s="2" customFormat="1" ht="12" customHeight="1" x14ac:dyDescent="0.4">
      <c r="A65" s="20"/>
      <c r="B65" s="7" t="s">
        <v>9</v>
      </c>
      <c r="C65" s="9" t="str">
        <f t="shared" ca="1" si="2"/>
        <v/>
      </c>
      <c r="D65" s="9" t="str">
        <f>[1]!splitstr($A65," - ",COLUMNS($D:D)-1)</f>
        <v/>
      </c>
      <c r="E65" s="9" t="str">
        <f>[1]!splitstr($A65," - ",COLUMNS($D:E)-1)</f>
        <v/>
      </c>
      <c r="F65" s="8" t="str">
        <f>[1]!splitstr($A65," - ",COLUMNS($D:F)-1)</f>
        <v/>
      </c>
      <c r="G65" s="19" t="str">
        <f t="shared" si="1"/>
        <v/>
      </c>
    </row>
    <row r="66" spans="1:7" s="2" customFormat="1" ht="12" customHeight="1" x14ac:dyDescent="0.4">
      <c r="A66" s="20"/>
      <c r="B66" s="7" t="s">
        <v>9</v>
      </c>
      <c r="C66" s="9" t="str">
        <f t="shared" ref="C66:C97" ca="1" si="3">IF(
    OR(
        $A66="",
        OFFSET($A66,-1,0)=""
    ),
    "",
    IF(
        OFFSET($A66,-1,0)=$A$1,
        1,
        OFFSET($C66,-1,0)+1
    )
)</f>
        <v/>
      </c>
      <c r="D66" s="9" t="str">
        <f>[1]!splitstr($A66," - ",COLUMNS($D:D)-1)</f>
        <v/>
      </c>
      <c r="E66" s="9" t="str">
        <f>[1]!splitstr($A66," - ",COLUMNS($D:E)-1)</f>
        <v/>
      </c>
      <c r="F66" s="8" t="str">
        <f>[1]!splitstr($A66," - ",COLUMNS($D:F)-1)</f>
        <v/>
      </c>
      <c r="G66" s="19" t="str">
        <f t="shared" si="1"/>
        <v/>
      </c>
    </row>
    <row r="67" spans="1:7" s="2" customFormat="1" ht="12" customHeight="1" x14ac:dyDescent="0.4">
      <c r="A67" s="20"/>
      <c r="B67" s="7" t="s">
        <v>9</v>
      </c>
      <c r="C67" s="9" t="str">
        <f t="shared" ca="1" si="3"/>
        <v/>
      </c>
      <c r="D67" s="9" t="str">
        <f>[1]!splitstr($A67," - ",COLUMNS($D:D)-1)</f>
        <v/>
      </c>
      <c r="E67" s="9" t="str">
        <f>[1]!splitstr($A67," - ",COLUMNS($D:E)-1)</f>
        <v/>
      </c>
      <c r="F67" s="8" t="str">
        <f>[1]!splitstr($A67," - ",COLUMNS($D:F)-1)</f>
        <v/>
      </c>
      <c r="G67" s="19" t="str">
        <f t="shared" ref="G67:G130" si="4">IF(F67="","",TIMEVALUE(F67))</f>
        <v/>
      </c>
    </row>
    <row r="68" spans="1:7" s="2" customFormat="1" ht="12" customHeight="1" x14ac:dyDescent="0.4">
      <c r="A68" s="20"/>
      <c r="B68" s="7" t="s">
        <v>9</v>
      </c>
      <c r="C68" s="9" t="str">
        <f t="shared" ca="1" si="3"/>
        <v/>
      </c>
      <c r="D68" s="9" t="str">
        <f>[1]!splitstr($A68," - ",COLUMNS($D:D)-1)</f>
        <v/>
      </c>
      <c r="E68" s="9" t="str">
        <f>[1]!splitstr($A68," - ",COLUMNS($D:E)-1)</f>
        <v/>
      </c>
      <c r="F68" s="8" t="str">
        <f>[1]!splitstr($A68," - ",COLUMNS($D:F)-1)</f>
        <v/>
      </c>
      <c r="G68" s="19" t="str">
        <f t="shared" si="4"/>
        <v/>
      </c>
    </row>
    <row r="69" spans="1:7" s="2" customFormat="1" ht="12" customHeight="1" x14ac:dyDescent="0.4">
      <c r="A69" s="20"/>
      <c r="B69" s="7" t="s">
        <v>9</v>
      </c>
      <c r="C69" s="9" t="str">
        <f t="shared" ca="1" si="3"/>
        <v/>
      </c>
      <c r="D69" s="9" t="str">
        <f>[1]!splitstr($A69," - ",COLUMNS($D:D)-1)</f>
        <v/>
      </c>
      <c r="E69" s="9" t="str">
        <f>[1]!splitstr($A69," - ",COLUMNS($D:E)-1)</f>
        <v/>
      </c>
      <c r="F69" s="8" t="str">
        <f>[1]!splitstr($A69," - ",COLUMNS($D:F)-1)</f>
        <v/>
      </c>
      <c r="G69" s="19" t="str">
        <f t="shared" si="4"/>
        <v/>
      </c>
    </row>
    <row r="70" spans="1:7" s="2" customFormat="1" ht="12" customHeight="1" x14ac:dyDescent="0.4">
      <c r="A70" s="20"/>
      <c r="B70" s="7" t="s">
        <v>9</v>
      </c>
      <c r="C70" s="9" t="str">
        <f t="shared" ca="1" si="3"/>
        <v/>
      </c>
      <c r="D70" s="9" t="str">
        <f>[1]!splitstr($A70," - ",COLUMNS($D:D)-1)</f>
        <v/>
      </c>
      <c r="E70" s="9" t="str">
        <f>[1]!splitstr($A70," - ",COLUMNS($D:E)-1)</f>
        <v/>
      </c>
      <c r="F70" s="8" t="str">
        <f>[1]!splitstr($A70," - ",COLUMNS($D:F)-1)</f>
        <v/>
      </c>
      <c r="G70" s="19" t="str">
        <f t="shared" si="4"/>
        <v/>
      </c>
    </row>
    <row r="71" spans="1:7" s="2" customFormat="1" ht="12" customHeight="1" x14ac:dyDescent="0.4">
      <c r="A71" s="20"/>
      <c r="B71" s="7" t="s">
        <v>9</v>
      </c>
      <c r="C71" s="9" t="str">
        <f t="shared" ca="1" si="3"/>
        <v/>
      </c>
      <c r="D71" s="9" t="str">
        <f>[1]!splitstr($A71," - ",COLUMNS($D:D)-1)</f>
        <v/>
      </c>
      <c r="E71" s="9" t="str">
        <f>[1]!splitstr($A71," - ",COLUMNS($D:E)-1)</f>
        <v/>
      </c>
      <c r="F71" s="8" t="str">
        <f>[1]!splitstr($A71," - ",COLUMNS($D:F)-1)</f>
        <v/>
      </c>
      <c r="G71" s="19" t="str">
        <f t="shared" si="4"/>
        <v/>
      </c>
    </row>
    <row r="72" spans="1:7" s="2" customFormat="1" ht="12" customHeight="1" x14ac:dyDescent="0.4">
      <c r="A72" s="20"/>
      <c r="B72" s="7" t="s">
        <v>9</v>
      </c>
      <c r="C72" s="9" t="str">
        <f t="shared" ca="1" si="3"/>
        <v/>
      </c>
      <c r="D72" s="9" t="str">
        <f>[1]!splitstr($A72," - ",COLUMNS($D:D)-1)</f>
        <v/>
      </c>
      <c r="E72" s="9" t="str">
        <f>[1]!splitstr($A72," - ",COLUMNS($D:E)-1)</f>
        <v/>
      </c>
      <c r="F72" s="8" t="str">
        <f>[1]!splitstr($A72," - ",COLUMNS($D:F)-1)</f>
        <v/>
      </c>
      <c r="G72" s="19" t="str">
        <f t="shared" si="4"/>
        <v/>
      </c>
    </row>
    <row r="73" spans="1:7" s="2" customFormat="1" ht="12" customHeight="1" x14ac:dyDescent="0.4">
      <c r="A73" s="20"/>
      <c r="B73" s="7" t="s">
        <v>9</v>
      </c>
      <c r="C73" s="9" t="str">
        <f t="shared" ca="1" si="3"/>
        <v/>
      </c>
      <c r="D73" s="9" t="str">
        <f>[1]!splitstr($A73," - ",COLUMNS($D:D)-1)</f>
        <v/>
      </c>
      <c r="E73" s="9" t="str">
        <f>[1]!splitstr($A73," - ",COLUMNS($D:E)-1)</f>
        <v/>
      </c>
      <c r="F73" s="8" t="str">
        <f>[1]!splitstr($A73," - ",COLUMNS($D:F)-1)</f>
        <v/>
      </c>
      <c r="G73" s="19" t="str">
        <f t="shared" si="4"/>
        <v/>
      </c>
    </row>
    <row r="74" spans="1:7" s="2" customFormat="1" ht="12" customHeight="1" x14ac:dyDescent="0.4">
      <c r="A74" s="20"/>
      <c r="B74" s="7" t="s">
        <v>9</v>
      </c>
      <c r="C74" s="9" t="str">
        <f t="shared" ca="1" si="3"/>
        <v/>
      </c>
      <c r="D74" s="9" t="str">
        <f>[1]!splitstr($A74," - ",COLUMNS($D:D)-1)</f>
        <v/>
      </c>
      <c r="E74" s="9" t="str">
        <f>[1]!splitstr($A74," - ",COLUMNS($D:E)-1)</f>
        <v/>
      </c>
      <c r="F74" s="8" t="str">
        <f>[1]!splitstr($A74," - ",COLUMNS($D:F)-1)</f>
        <v/>
      </c>
      <c r="G74" s="19" t="str">
        <f t="shared" si="4"/>
        <v/>
      </c>
    </row>
    <row r="75" spans="1:7" s="2" customFormat="1" ht="12" customHeight="1" x14ac:dyDescent="0.4">
      <c r="A75" s="20"/>
      <c r="B75" s="7" t="s">
        <v>9</v>
      </c>
      <c r="C75" s="9" t="str">
        <f t="shared" ca="1" si="3"/>
        <v/>
      </c>
      <c r="D75" s="9" t="str">
        <f>[1]!splitstr($A75," - ",COLUMNS($D:D)-1)</f>
        <v/>
      </c>
      <c r="E75" s="9" t="str">
        <f>[1]!splitstr($A75," - ",COLUMNS($D:E)-1)</f>
        <v/>
      </c>
      <c r="F75" s="8" t="str">
        <f>[1]!splitstr($A75," - ",COLUMNS($D:F)-1)</f>
        <v/>
      </c>
      <c r="G75" s="19" t="str">
        <f t="shared" si="4"/>
        <v/>
      </c>
    </row>
    <row r="76" spans="1:7" s="2" customFormat="1" ht="12" customHeight="1" x14ac:dyDescent="0.4">
      <c r="A76" s="20"/>
      <c r="B76" s="7" t="s">
        <v>9</v>
      </c>
      <c r="C76" s="9" t="str">
        <f t="shared" ca="1" si="3"/>
        <v/>
      </c>
      <c r="D76" s="9" t="str">
        <f>[1]!splitstr($A76," - ",COLUMNS($D:D)-1)</f>
        <v/>
      </c>
      <c r="E76" s="9" t="str">
        <f>[1]!splitstr($A76," - ",COLUMNS($D:E)-1)</f>
        <v/>
      </c>
      <c r="F76" s="8" t="str">
        <f>[1]!splitstr($A76," - ",COLUMNS($D:F)-1)</f>
        <v/>
      </c>
      <c r="G76" s="19" t="str">
        <f t="shared" si="4"/>
        <v/>
      </c>
    </row>
    <row r="77" spans="1:7" s="2" customFormat="1" ht="12" customHeight="1" x14ac:dyDescent="0.4">
      <c r="A77" s="20"/>
      <c r="B77" s="7" t="s">
        <v>9</v>
      </c>
      <c r="C77" s="9" t="str">
        <f t="shared" ca="1" si="3"/>
        <v/>
      </c>
      <c r="D77" s="9" t="str">
        <f>[1]!splitstr($A77," - ",COLUMNS($D:D)-1)</f>
        <v/>
      </c>
      <c r="E77" s="9" t="str">
        <f>[1]!splitstr($A77," - ",COLUMNS($D:E)-1)</f>
        <v/>
      </c>
      <c r="F77" s="8" t="str">
        <f>[1]!splitstr($A77," - ",COLUMNS($D:F)-1)</f>
        <v/>
      </c>
      <c r="G77" s="19" t="str">
        <f t="shared" si="4"/>
        <v/>
      </c>
    </row>
    <row r="78" spans="1:7" s="2" customFormat="1" ht="12" customHeight="1" x14ac:dyDescent="0.4">
      <c r="A78" s="20"/>
      <c r="B78" s="7" t="s">
        <v>9</v>
      </c>
      <c r="C78" s="9" t="str">
        <f t="shared" ca="1" si="3"/>
        <v/>
      </c>
      <c r="D78" s="9" t="str">
        <f>[1]!splitstr($A78," - ",COLUMNS($D:D)-1)</f>
        <v/>
      </c>
      <c r="E78" s="9" t="str">
        <f>[1]!splitstr($A78," - ",COLUMNS($D:E)-1)</f>
        <v/>
      </c>
      <c r="F78" s="8" t="str">
        <f>[1]!splitstr($A78," - ",COLUMNS($D:F)-1)</f>
        <v/>
      </c>
      <c r="G78" s="19" t="str">
        <f t="shared" si="4"/>
        <v/>
      </c>
    </row>
    <row r="79" spans="1:7" s="2" customFormat="1" ht="12" customHeight="1" x14ac:dyDescent="0.4">
      <c r="A79" s="20"/>
      <c r="B79" s="7" t="s">
        <v>9</v>
      </c>
      <c r="C79" s="9" t="str">
        <f t="shared" ca="1" si="3"/>
        <v/>
      </c>
      <c r="D79" s="9" t="str">
        <f>[1]!splitstr($A79," - ",COLUMNS($D:D)-1)</f>
        <v/>
      </c>
      <c r="E79" s="9" t="str">
        <f>[1]!splitstr($A79," - ",COLUMNS($D:E)-1)</f>
        <v/>
      </c>
      <c r="F79" s="8" t="str">
        <f>[1]!splitstr($A79," - ",COLUMNS($D:F)-1)</f>
        <v/>
      </c>
      <c r="G79" s="19" t="str">
        <f t="shared" si="4"/>
        <v/>
      </c>
    </row>
    <row r="80" spans="1:7" s="2" customFormat="1" ht="12" customHeight="1" x14ac:dyDescent="0.4">
      <c r="A80" s="20"/>
      <c r="B80" s="7" t="s">
        <v>9</v>
      </c>
      <c r="C80" s="9" t="str">
        <f t="shared" ca="1" si="3"/>
        <v/>
      </c>
      <c r="D80" s="9" t="str">
        <f>[1]!splitstr($A80," - ",COLUMNS($D:D)-1)</f>
        <v/>
      </c>
      <c r="E80" s="9" t="str">
        <f>[1]!splitstr($A80," - ",COLUMNS($D:E)-1)</f>
        <v/>
      </c>
      <c r="F80" s="8" t="str">
        <f>[1]!splitstr($A80," - ",COLUMNS($D:F)-1)</f>
        <v/>
      </c>
      <c r="G80" s="19" t="str">
        <f t="shared" si="4"/>
        <v/>
      </c>
    </row>
    <row r="81" spans="1:7" s="2" customFormat="1" ht="12" customHeight="1" x14ac:dyDescent="0.4">
      <c r="A81" s="20"/>
      <c r="B81" s="7" t="s">
        <v>9</v>
      </c>
      <c r="C81" s="9" t="str">
        <f t="shared" ca="1" si="3"/>
        <v/>
      </c>
      <c r="D81" s="9" t="str">
        <f>[1]!splitstr($A81," - ",COLUMNS($D:D)-1)</f>
        <v/>
      </c>
      <c r="E81" s="9" t="str">
        <f>[1]!splitstr($A81," - ",COLUMNS($D:E)-1)</f>
        <v/>
      </c>
      <c r="F81" s="8" t="str">
        <f>[1]!splitstr($A81," - ",COLUMNS($D:F)-1)</f>
        <v/>
      </c>
      <c r="G81" s="19" t="str">
        <f t="shared" si="4"/>
        <v/>
      </c>
    </row>
    <row r="82" spans="1:7" s="2" customFormat="1" ht="12" customHeight="1" x14ac:dyDescent="0.4">
      <c r="A82" s="20"/>
      <c r="B82" s="7" t="s">
        <v>9</v>
      </c>
      <c r="C82" s="9" t="str">
        <f t="shared" ca="1" si="3"/>
        <v/>
      </c>
      <c r="D82" s="9" t="str">
        <f>[1]!splitstr($A82," - ",COLUMNS($D:D)-1)</f>
        <v/>
      </c>
      <c r="E82" s="9" t="str">
        <f>[1]!splitstr($A82," - ",COLUMNS($D:E)-1)</f>
        <v/>
      </c>
      <c r="F82" s="8" t="str">
        <f>[1]!splitstr($A82," - ",COLUMNS($D:F)-1)</f>
        <v/>
      </c>
      <c r="G82" s="19" t="str">
        <f t="shared" si="4"/>
        <v/>
      </c>
    </row>
    <row r="83" spans="1:7" s="2" customFormat="1" ht="12" customHeight="1" x14ac:dyDescent="0.4">
      <c r="A83" s="20"/>
      <c r="B83" s="7" t="s">
        <v>9</v>
      </c>
      <c r="C83" s="9" t="str">
        <f t="shared" ca="1" si="3"/>
        <v/>
      </c>
      <c r="D83" s="9" t="str">
        <f>[1]!splitstr($A83," - ",COLUMNS($D:D)-1)</f>
        <v/>
      </c>
      <c r="E83" s="9" t="str">
        <f>[1]!splitstr($A83," - ",COLUMNS($D:E)-1)</f>
        <v/>
      </c>
      <c r="F83" s="8" t="str">
        <f>[1]!splitstr($A83," - ",COLUMNS($D:F)-1)</f>
        <v/>
      </c>
      <c r="G83" s="19" t="str">
        <f t="shared" si="4"/>
        <v/>
      </c>
    </row>
    <row r="84" spans="1:7" s="2" customFormat="1" ht="12" customHeight="1" x14ac:dyDescent="0.4">
      <c r="A84" s="20"/>
      <c r="B84" s="7" t="s">
        <v>9</v>
      </c>
      <c r="C84" s="9" t="str">
        <f t="shared" ca="1" si="3"/>
        <v/>
      </c>
      <c r="D84" s="9" t="str">
        <f>[1]!splitstr($A84," - ",COLUMNS($D:D)-1)</f>
        <v/>
      </c>
      <c r="E84" s="9" t="str">
        <f>[1]!splitstr($A84," - ",COLUMNS($D:E)-1)</f>
        <v/>
      </c>
      <c r="F84" s="8" t="str">
        <f>[1]!splitstr($A84," - ",COLUMNS($D:F)-1)</f>
        <v/>
      </c>
      <c r="G84" s="19" t="str">
        <f t="shared" si="4"/>
        <v/>
      </c>
    </row>
    <row r="85" spans="1:7" s="2" customFormat="1" ht="12" customHeight="1" x14ac:dyDescent="0.4">
      <c r="A85" s="20"/>
      <c r="B85" s="7" t="s">
        <v>9</v>
      </c>
      <c r="C85" s="9" t="str">
        <f t="shared" ca="1" si="3"/>
        <v/>
      </c>
      <c r="D85" s="9" t="str">
        <f>[1]!splitstr($A85," - ",COLUMNS($D:D)-1)</f>
        <v/>
      </c>
      <c r="E85" s="9" t="str">
        <f>[1]!splitstr($A85," - ",COLUMNS($D:E)-1)</f>
        <v/>
      </c>
      <c r="F85" s="8" t="str">
        <f>[1]!splitstr($A85," - ",COLUMNS($D:F)-1)</f>
        <v/>
      </c>
      <c r="G85" s="19" t="str">
        <f t="shared" si="4"/>
        <v/>
      </c>
    </row>
    <row r="86" spans="1:7" s="2" customFormat="1" ht="12" customHeight="1" x14ac:dyDescent="0.4">
      <c r="A86" s="20"/>
      <c r="B86" s="7" t="s">
        <v>9</v>
      </c>
      <c r="C86" s="9" t="str">
        <f t="shared" ca="1" si="3"/>
        <v/>
      </c>
      <c r="D86" s="9" t="str">
        <f>[1]!splitstr($A86," - ",COLUMNS($D:D)-1)</f>
        <v/>
      </c>
      <c r="E86" s="9" t="str">
        <f>[1]!splitstr($A86," - ",COLUMNS($D:E)-1)</f>
        <v/>
      </c>
      <c r="F86" s="8" t="str">
        <f>[1]!splitstr($A86," - ",COLUMNS($D:F)-1)</f>
        <v/>
      </c>
      <c r="G86" s="19" t="str">
        <f t="shared" si="4"/>
        <v/>
      </c>
    </row>
    <row r="87" spans="1:7" s="2" customFormat="1" ht="12" customHeight="1" x14ac:dyDescent="0.4">
      <c r="A87" s="20"/>
      <c r="B87" s="7" t="s">
        <v>9</v>
      </c>
      <c r="C87" s="9" t="str">
        <f t="shared" ca="1" si="3"/>
        <v/>
      </c>
      <c r="D87" s="9" t="str">
        <f>[1]!splitstr($A87," - ",COLUMNS($D:D)-1)</f>
        <v/>
      </c>
      <c r="E87" s="9" t="str">
        <f>[1]!splitstr($A87," - ",COLUMNS($D:E)-1)</f>
        <v/>
      </c>
      <c r="F87" s="8" t="str">
        <f>[1]!splitstr($A87," - ",COLUMNS($D:F)-1)</f>
        <v/>
      </c>
      <c r="G87" s="19" t="str">
        <f t="shared" si="4"/>
        <v/>
      </c>
    </row>
    <row r="88" spans="1:7" s="2" customFormat="1" ht="12" customHeight="1" x14ac:dyDescent="0.4">
      <c r="A88" s="20"/>
      <c r="B88" s="7" t="s">
        <v>9</v>
      </c>
      <c r="C88" s="9" t="str">
        <f t="shared" ca="1" si="3"/>
        <v/>
      </c>
      <c r="D88" s="9" t="str">
        <f>[1]!splitstr($A88," - ",COLUMNS($D:D)-1)</f>
        <v/>
      </c>
      <c r="E88" s="9" t="str">
        <f>[1]!splitstr($A88," - ",COLUMNS($D:E)-1)</f>
        <v/>
      </c>
      <c r="F88" s="8" t="str">
        <f>[1]!splitstr($A88," - ",COLUMNS($D:F)-1)</f>
        <v/>
      </c>
      <c r="G88" s="19" t="str">
        <f t="shared" si="4"/>
        <v/>
      </c>
    </row>
    <row r="89" spans="1:7" s="2" customFormat="1" ht="12" customHeight="1" x14ac:dyDescent="0.4">
      <c r="A89" s="20"/>
      <c r="B89" s="7" t="s">
        <v>9</v>
      </c>
      <c r="C89" s="9" t="str">
        <f t="shared" ca="1" si="3"/>
        <v/>
      </c>
      <c r="D89" s="9" t="str">
        <f>[1]!splitstr($A89," - ",COLUMNS($D:D)-1)</f>
        <v/>
      </c>
      <c r="E89" s="9" t="str">
        <f>[1]!splitstr($A89," - ",COLUMNS($D:E)-1)</f>
        <v/>
      </c>
      <c r="F89" s="8" t="str">
        <f>[1]!splitstr($A89," - ",COLUMNS($D:F)-1)</f>
        <v/>
      </c>
      <c r="G89" s="19" t="str">
        <f t="shared" si="4"/>
        <v/>
      </c>
    </row>
    <row r="90" spans="1:7" s="2" customFormat="1" ht="12" customHeight="1" x14ac:dyDescent="0.4">
      <c r="A90" s="20"/>
      <c r="B90" s="7" t="s">
        <v>9</v>
      </c>
      <c r="C90" s="9" t="str">
        <f t="shared" ca="1" si="3"/>
        <v/>
      </c>
      <c r="D90" s="9" t="str">
        <f>[1]!splitstr($A90," - ",COLUMNS($D:D)-1)</f>
        <v/>
      </c>
      <c r="E90" s="9" t="str">
        <f>[1]!splitstr($A90," - ",COLUMNS($D:E)-1)</f>
        <v/>
      </c>
      <c r="F90" s="8" t="str">
        <f>[1]!splitstr($A90," - ",COLUMNS($D:F)-1)</f>
        <v/>
      </c>
      <c r="G90" s="19" t="str">
        <f t="shared" si="4"/>
        <v/>
      </c>
    </row>
    <row r="91" spans="1:7" s="2" customFormat="1" ht="12" customHeight="1" x14ac:dyDescent="0.4">
      <c r="A91" s="20"/>
      <c r="B91" s="7" t="s">
        <v>9</v>
      </c>
      <c r="C91" s="9" t="str">
        <f t="shared" ca="1" si="3"/>
        <v/>
      </c>
      <c r="D91" s="9" t="str">
        <f>[1]!splitstr($A91," - ",COLUMNS($D:D)-1)</f>
        <v/>
      </c>
      <c r="E91" s="9" t="str">
        <f>[1]!splitstr($A91," - ",COLUMNS($D:E)-1)</f>
        <v/>
      </c>
      <c r="F91" s="8" t="str">
        <f>[1]!splitstr($A91," - ",COLUMNS($D:F)-1)</f>
        <v/>
      </c>
      <c r="G91" s="19" t="str">
        <f t="shared" si="4"/>
        <v/>
      </c>
    </row>
    <row r="92" spans="1:7" s="2" customFormat="1" ht="12" customHeight="1" x14ac:dyDescent="0.4">
      <c r="A92" s="20"/>
      <c r="B92" s="7" t="s">
        <v>9</v>
      </c>
      <c r="C92" s="9" t="str">
        <f t="shared" ca="1" si="3"/>
        <v/>
      </c>
      <c r="D92" s="9" t="str">
        <f>[1]!splitstr($A92," - ",COLUMNS($D:D)-1)</f>
        <v/>
      </c>
      <c r="E92" s="9" t="str">
        <f>[1]!splitstr($A92," - ",COLUMNS($D:E)-1)</f>
        <v/>
      </c>
      <c r="F92" s="8" t="str">
        <f>[1]!splitstr($A92," - ",COLUMNS($D:F)-1)</f>
        <v/>
      </c>
      <c r="G92" s="19" t="str">
        <f t="shared" si="4"/>
        <v/>
      </c>
    </row>
    <row r="93" spans="1:7" s="2" customFormat="1" ht="12" customHeight="1" x14ac:dyDescent="0.4">
      <c r="A93" s="20"/>
      <c r="B93" s="7" t="s">
        <v>9</v>
      </c>
      <c r="C93" s="9" t="str">
        <f t="shared" ca="1" si="3"/>
        <v/>
      </c>
      <c r="D93" s="9" t="str">
        <f>[1]!splitstr($A93," - ",COLUMNS($D:D)-1)</f>
        <v/>
      </c>
      <c r="E93" s="9" t="str">
        <f>[1]!splitstr($A93," - ",COLUMNS($D:E)-1)</f>
        <v/>
      </c>
      <c r="F93" s="8" t="str">
        <f>[1]!splitstr($A93," - ",COLUMNS($D:F)-1)</f>
        <v/>
      </c>
      <c r="G93" s="19" t="str">
        <f t="shared" si="4"/>
        <v/>
      </c>
    </row>
    <row r="94" spans="1:7" s="2" customFormat="1" ht="12" customHeight="1" x14ac:dyDescent="0.4">
      <c r="A94" s="20"/>
      <c r="B94" s="7" t="s">
        <v>9</v>
      </c>
      <c r="C94" s="9" t="str">
        <f t="shared" ca="1" si="3"/>
        <v/>
      </c>
      <c r="D94" s="9" t="str">
        <f>[1]!splitstr($A94," - ",COLUMNS($D:D)-1)</f>
        <v/>
      </c>
      <c r="E94" s="9" t="str">
        <f>[1]!splitstr($A94," - ",COLUMNS($D:E)-1)</f>
        <v/>
      </c>
      <c r="F94" s="8" t="str">
        <f>[1]!splitstr($A94," - ",COLUMNS($D:F)-1)</f>
        <v/>
      </c>
      <c r="G94" s="19" t="str">
        <f t="shared" si="4"/>
        <v/>
      </c>
    </row>
    <row r="95" spans="1:7" s="2" customFormat="1" ht="12" customHeight="1" x14ac:dyDescent="0.4">
      <c r="A95" s="20"/>
      <c r="B95" s="7" t="s">
        <v>9</v>
      </c>
      <c r="C95" s="9" t="str">
        <f t="shared" ca="1" si="3"/>
        <v/>
      </c>
      <c r="D95" s="9" t="str">
        <f>[1]!splitstr($A95," - ",COLUMNS($D:D)-1)</f>
        <v/>
      </c>
      <c r="E95" s="9" t="str">
        <f>[1]!splitstr($A95," - ",COLUMNS($D:E)-1)</f>
        <v/>
      </c>
      <c r="F95" s="8" t="str">
        <f>[1]!splitstr($A95," - ",COLUMNS($D:F)-1)</f>
        <v/>
      </c>
      <c r="G95" s="19" t="str">
        <f t="shared" si="4"/>
        <v/>
      </c>
    </row>
    <row r="96" spans="1:7" s="2" customFormat="1" ht="12" customHeight="1" x14ac:dyDescent="0.4">
      <c r="A96" s="20"/>
      <c r="B96" s="7" t="s">
        <v>9</v>
      </c>
      <c r="C96" s="9" t="str">
        <f t="shared" ca="1" si="3"/>
        <v/>
      </c>
      <c r="D96" s="9" t="str">
        <f>[1]!splitstr($A96," - ",COLUMNS($D:D)-1)</f>
        <v/>
      </c>
      <c r="E96" s="9" t="str">
        <f>[1]!splitstr($A96," - ",COLUMNS($D:E)-1)</f>
        <v/>
      </c>
      <c r="F96" s="8" t="str">
        <f>[1]!splitstr($A96," - ",COLUMNS($D:F)-1)</f>
        <v/>
      </c>
      <c r="G96" s="19" t="str">
        <f t="shared" si="4"/>
        <v/>
      </c>
    </row>
    <row r="97" spans="1:7" s="2" customFormat="1" ht="12" customHeight="1" x14ac:dyDescent="0.4">
      <c r="A97" s="20"/>
      <c r="B97" s="7" t="s">
        <v>9</v>
      </c>
      <c r="C97" s="9" t="str">
        <f t="shared" ca="1" si="3"/>
        <v/>
      </c>
      <c r="D97" s="9" t="str">
        <f>[1]!splitstr($A97," - ",COLUMNS($D:D)-1)</f>
        <v/>
      </c>
      <c r="E97" s="9" t="str">
        <f>[1]!splitstr($A97," - ",COLUMNS($D:E)-1)</f>
        <v/>
      </c>
      <c r="F97" s="8" t="str">
        <f>[1]!splitstr($A97," - ",COLUMNS($D:F)-1)</f>
        <v/>
      </c>
      <c r="G97" s="19" t="str">
        <f t="shared" si="4"/>
        <v/>
      </c>
    </row>
    <row r="98" spans="1:7" s="2" customFormat="1" ht="12" customHeight="1" x14ac:dyDescent="0.4">
      <c r="A98" s="20"/>
      <c r="B98" s="7" t="s">
        <v>9</v>
      </c>
      <c r="C98" s="9" t="str">
        <f t="shared" ref="C98:C129" ca="1" si="5">IF(
    OR(
        $A98="",
        OFFSET($A98,-1,0)=""
    ),
    "",
    IF(
        OFFSET($A98,-1,0)=$A$1,
        1,
        OFFSET($C98,-1,0)+1
    )
)</f>
        <v/>
      </c>
      <c r="D98" s="9" t="str">
        <f>[1]!splitstr($A98," - ",COLUMNS($D:D)-1)</f>
        <v/>
      </c>
      <c r="E98" s="9" t="str">
        <f>[1]!splitstr($A98," - ",COLUMNS($D:E)-1)</f>
        <v/>
      </c>
      <c r="F98" s="8" t="str">
        <f>[1]!splitstr($A98," - ",COLUMNS($D:F)-1)</f>
        <v/>
      </c>
      <c r="G98" s="19" t="str">
        <f t="shared" si="4"/>
        <v/>
      </c>
    </row>
    <row r="99" spans="1:7" s="2" customFormat="1" ht="12" customHeight="1" x14ac:dyDescent="0.4">
      <c r="A99" s="20"/>
      <c r="B99" s="7" t="s">
        <v>9</v>
      </c>
      <c r="C99" s="9" t="str">
        <f t="shared" ca="1" si="5"/>
        <v/>
      </c>
      <c r="D99" s="9" t="str">
        <f>[1]!splitstr($A99," - ",COLUMNS($D:D)-1)</f>
        <v/>
      </c>
      <c r="E99" s="9" t="str">
        <f>[1]!splitstr($A99," - ",COLUMNS($D:E)-1)</f>
        <v/>
      </c>
      <c r="F99" s="8" t="str">
        <f>[1]!splitstr($A99," - ",COLUMNS($D:F)-1)</f>
        <v/>
      </c>
      <c r="G99" s="19" t="str">
        <f t="shared" si="4"/>
        <v/>
      </c>
    </row>
    <row r="100" spans="1:7" s="2" customFormat="1" ht="12" customHeight="1" x14ac:dyDescent="0.4">
      <c r="A100" s="20"/>
      <c r="B100" s="7" t="s">
        <v>9</v>
      </c>
      <c r="C100" s="9" t="str">
        <f t="shared" ca="1" si="5"/>
        <v/>
      </c>
      <c r="D100" s="9" t="str">
        <f>[1]!splitstr($A100," - ",COLUMNS($D:D)-1)</f>
        <v/>
      </c>
      <c r="E100" s="9" t="str">
        <f>[1]!splitstr($A100," - ",COLUMNS($D:E)-1)</f>
        <v/>
      </c>
      <c r="F100" s="8" t="str">
        <f>[1]!splitstr($A100," - ",COLUMNS($D:F)-1)</f>
        <v/>
      </c>
      <c r="G100" s="19" t="str">
        <f t="shared" si="4"/>
        <v/>
      </c>
    </row>
    <row r="101" spans="1:7" s="2" customFormat="1" ht="12" customHeight="1" x14ac:dyDescent="0.4">
      <c r="A101" s="20"/>
      <c r="B101" s="7" t="s">
        <v>9</v>
      </c>
      <c r="C101" s="9" t="str">
        <f t="shared" ca="1" si="5"/>
        <v/>
      </c>
      <c r="D101" s="9" t="str">
        <f>[1]!splitstr($A101," - ",COLUMNS($D:D)-1)</f>
        <v/>
      </c>
      <c r="E101" s="9" t="str">
        <f>[1]!splitstr($A101," - ",COLUMNS($D:E)-1)</f>
        <v/>
      </c>
      <c r="F101" s="8" t="str">
        <f>[1]!splitstr($A101," - ",COLUMNS($D:F)-1)</f>
        <v/>
      </c>
      <c r="G101" s="19" t="str">
        <f t="shared" si="4"/>
        <v/>
      </c>
    </row>
    <row r="102" spans="1:7" s="2" customFormat="1" ht="12" customHeight="1" x14ac:dyDescent="0.4">
      <c r="A102" s="20"/>
      <c r="B102" s="7" t="s">
        <v>9</v>
      </c>
      <c r="C102" s="9" t="str">
        <f t="shared" ca="1" si="5"/>
        <v/>
      </c>
      <c r="D102" s="9" t="str">
        <f>[1]!splitstr($A102," - ",COLUMNS($D:D)-1)</f>
        <v/>
      </c>
      <c r="E102" s="9" t="str">
        <f>[1]!splitstr($A102," - ",COLUMNS($D:E)-1)</f>
        <v/>
      </c>
      <c r="F102" s="8" t="str">
        <f>[1]!splitstr($A102," - ",COLUMNS($D:F)-1)</f>
        <v/>
      </c>
      <c r="G102" s="19" t="str">
        <f t="shared" si="4"/>
        <v/>
      </c>
    </row>
    <row r="103" spans="1:7" s="2" customFormat="1" ht="12" customHeight="1" x14ac:dyDescent="0.4">
      <c r="A103" s="20"/>
      <c r="B103" s="7" t="s">
        <v>9</v>
      </c>
      <c r="C103" s="9" t="str">
        <f t="shared" ca="1" si="5"/>
        <v/>
      </c>
      <c r="D103" s="9" t="str">
        <f>[1]!splitstr($A103," - ",COLUMNS($D:D)-1)</f>
        <v/>
      </c>
      <c r="E103" s="9" t="str">
        <f>[1]!splitstr($A103," - ",COLUMNS($D:E)-1)</f>
        <v/>
      </c>
      <c r="F103" s="8" t="str">
        <f>[1]!splitstr($A103," - ",COLUMNS($D:F)-1)</f>
        <v/>
      </c>
      <c r="G103" s="19" t="str">
        <f t="shared" si="4"/>
        <v/>
      </c>
    </row>
    <row r="104" spans="1:7" s="2" customFormat="1" ht="12" customHeight="1" x14ac:dyDescent="0.4">
      <c r="A104" s="20"/>
      <c r="B104" s="7" t="s">
        <v>9</v>
      </c>
      <c r="C104" s="9" t="str">
        <f t="shared" ca="1" si="5"/>
        <v/>
      </c>
      <c r="D104" s="9" t="str">
        <f>[1]!splitstr($A104," - ",COLUMNS($D:D)-1)</f>
        <v/>
      </c>
      <c r="E104" s="9" t="str">
        <f>[1]!splitstr($A104," - ",COLUMNS($D:E)-1)</f>
        <v/>
      </c>
      <c r="F104" s="8" t="str">
        <f>[1]!splitstr($A104," - ",COLUMNS($D:F)-1)</f>
        <v/>
      </c>
      <c r="G104" s="19" t="str">
        <f t="shared" si="4"/>
        <v/>
      </c>
    </row>
    <row r="105" spans="1:7" s="2" customFormat="1" ht="12" customHeight="1" x14ac:dyDescent="0.4">
      <c r="A105" s="20"/>
      <c r="B105" s="7" t="s">
        <v>9</v>
      </c>
      <c r="C105" s="9" t="str">
        <f t="shared" ca="1" si="5"/>
        <v/>
      </c>
      <c r="D105" s="9" t="str">
        <f>[1]!splitstr($A105," - ",COLUMNS($D:D)-1)</f>
        <v/>
      </c>
      <c r="E105" s="9" t="str">
        <f>[1]!splitstr($A105," - ",COLUMNS($D:E)-1)</f>
        <v/>
      </c>
      <c r="F105" s="8" t="str">
        <f>[1]!splitstr($A105," - ",COLUMNS($D:F)-1)</f>
        <v/>
      </c>
      <c r="G105" s="19" t="str">
        <f t="shared" si="4"/>
        <v/>
      </c>
    </row>
    <row r="106" spans="1:7" s="2" customFormat="1" ht="12" customHeight="1" x14ac:dyDescent="0.4">
      <c r="A106" s="20"/>
      <c r="B106" s="7" t="s">
        <v>9</v>
      </c>
      <c r="C106" s="9" t="str">
        <f t="shared" ca="1" si="5"/>
        <v/>
      </c>
      <c r="D106" s="9" t="str">
        <f>[1]!splitstr($A106," - ",COLUMNS($D:D)-1)</f>
        <v/>
      </c>
      <c r="E106" s="9" t="str">
        <f>[1]!splitstr($A106," - ",COLUMNS($D:E)-1)</f>
        <v/>
      </c>
      <c r="F106" s="8" t="str">
        <f>[1]!splitstr($A106," - ",COLUMNS($D:F)-1)</f>
        <v/>
      </c>
      <c r="G106" s="19" t="str">
        <f t="shared" si="4"/>
        <v/>
      </c>
    </row>
    <row r="107" spans="1:7" s="2" customFormat="1" ht="12" customHeight="1" x14ac:dyDescent="0.4">
      <c r="A107" s="20"/>
      <c r="B107" s="7" t="s">
        <v>9</v>
      </c>
      <c r="C107" s="9" t="str">
        <f t="shared" ca="1" si="5"/>
        <v/>
      </c>
      <c r="D107" s="9" t="str">
        <f>[1]!splitstr($A107," - ",COLUMNS($D:D)-1)</f>
        <v/>
      </c>
      <c r="E107" s="9" t="str">
        <f>[1]!splitstr($A107," - ",COLUMNS($D:E)-1)</f>
        <v/>
      </c>
      <c r="F107" s="8" t="str">
        <f>[1]!splitstr($A107," - ",COLUMNS($D:F)-1)</f>
        <v/>
      </c>
      <c r="G107" s="19" t="str">
        <f t="shared" si="4"/>
        <v/>
      </c>
    </row>
    <row r="108" spans="1:7" s="2" customFormat="1" ht="12" customHeight="1" x14ac:dyDescent="0.4">
      <c r="A108" s="20"/>
      <c r="B108" s="7" t="s">
        <v>9</v>
      </c>
      <c r="C108" s="9" t="str">
        <f t="shared" ca="1" si="5"/>
        <v/>
      </c>
      <c r="D108" s="9" t="str">
        <f>[1]!splitstr($A108," - ",COLUMNS($D:D)-1)</f>
        <v/>
      </c>
      <c r="E108" s="9" t="str">
        <f>[1]!splitstr($A108," - ",COLUMNS($D:E)-1)</f>
        <v/>
      </c>
      <c r="F108" s="8" t="str">
        <f>[1]!splitstr($A108," - ",COLUMNS($D:F)-1)</f>
        <v/>
      </c>
      <c r="G108" s="19" t="str">
        <f t="shared" si="4"/>
        <v/>
      </c>
    </row>
    <row r="109" spans="1:7" s="2" customFormat="1" ht="12" customHeight="1" x14ac:dyDescent="0.4">
      <c r="A109" s="20"/>
      <c r="B109" s="7" t="s">
        <v>9</v>
      </c>
      <c r="C109" s="9" t="str">
        <f t="shared" ca="1" si="5"/>
        <v/>
      </c>
      <c r="D109" s="9" t="str">
        <f>[1]!splitstr($A109," - ",COLUMNS($D:D)-1)</f>
        <v/>
      </c>
      <c r="E109" s="9" t="str">
        <f>[1]!splitstr($A109," - ",COLUMNS($D:E)-1)</f>
        <v/>
      </c>
      <c r="F109" s="8" t="str">
        <f>[1]!splitstr($A109," - ",COLUMNS($D:F)-1)</f>
        <v/>
      </c>
      <c r="G109" s="19" t="str">
        <f t="shared" si="4"/>
        <v/>
      </c>
    </row>
    <row r="110" spans="1:7" s="2" customFormat="1" ht="12" customHeight="1" x14ac:dyDescent="0.4">
      <c r="A110" s="20"/>
      <c r="B110" s="7" t="s">
        <v>9</v>
      </c>
      <c r="C110" s="9" t="str">
        <f t="shared" ca="1" si="5"/>
        <v/>
      </c>
      <c r="D110" s="9" t="str">
        <f>[1]!splitstr($A110," - ",COLUMNS($D:D)-1)</f>
        <v/>
      </c>
      <c r="E110" s="9" t="str">
        <f>[1]!splitstr($A110," - ",COLUMNS($D:E)-1)</f>
        <v/>
      </c>
      <c r="F110" s="8" t="str">
        <f>[1]!splitstr($A110," - ",COLUMNS($D:F)-1)</f>
        <v/>
      </c>
      <c r="G110" s="19" t="str">
        <f t="shared" si="4"/>
        <v/>
      </c>
    </row>
    <row r="111" spans="1:7" s="2" customFormat="1" ht="12" customHeight="1" x14ac:dyDescent="0.4">
      <c r="A111" s="20"/>
      <c r="B111" s="7" t="s">
        <v>9</v>
      </c>
      <c r="C111" s="9" t="str">
        <f t="shared" ca="1" si="5"/>
        <v/>
      </c>
      <c r="D111" s="9" t="str">
        <f>[1]!splitstr($A111," - ",COLUMNS($D:D)-1)</f>
        <v/>
      </c>
      <c r="E111" s="9" t="str">
        <f>[1]!splitstr($A111," - ",COLUMNS($D:E)-1)</f>
        <v/>
      </c>
      <c r="F111" s="8" t="str">
        <f>[1]!splitstr($A111," - ",COLUMNS($D:F)-1)</f>
        <v/>
      </c>
      <c r="G111" s="19" t="str">
        <f t="shared" si="4"/>
        <v/>
      </c>
    </row>
    <row r="112" spans="1:7" s="2" customFormat="1" ht="12" customHeight="1" x14ac:dyDescent="0.4">
      <c r="A112" s="20"/>
      <c r="B112" s="7" t="s">
        <v>9</v>
      </c>
      <c r="C112" s="9" t="str">
        <f t="shared" ca="1" si="5"/>
        <v/>
      </c>
      <c r="D112" s="9" t="str">
        <f>[1]!splitstr($A112," - ",COLUMNS($D:D)-1)</f>
        <v/>
      </c>
      <c r="E112" s="9" t="str">
        <f>[1]!splitstr($A112," - ",COLUMNS($D:E)-1)</f>
        <v/>
      </c>
      <c r="F112" s="8" t="str">
        <f>[1]!splitstr($A112," - ",COLUMNS($D:F)-1)</f>
        <v/>
      </c>
      <c r="G112" s="19" t="str">
        <f t="shared" si="4"/>
        <v/>
      </c>
    </row>
    <row r="113" spans="1:7" s="2" customFormat="1" ht="12" customHeight="1" x14ac:dyDescent="0.4">
      <c r="A113" s="20"/>
      <c r="B113" s="7" t="s">
        <v>9</v>
      </c>
      <c r="C113" s="9" t="str">
        <f t="shared" ca="1" si="5"/>
        <v/>
      </c>
      <c r="D113" s="9" t="str">
        <f>[1]!splitstr($A113," - ",COLUMNS($D:D)-1)</f>
        <v/>
      </c>
      <c r="E113" s="9" t="str">
        <f>[1]!splitstr($A113," - ",COLUMNS($D:E)-1)</f>
        <v/>
      </c>
      <c r="F113" s="8" t="str">
        <f>[1]!splitstr($A113," - ",COLUMNS($D:F)-1)</f>
        <v/>
      </c>
      <c r="G113" s="19" t="str">
        <f t="shared" si="4"/>
        <v/>
      </c>
    </row>
    <row r="114" spans="1:7" s="2" customFormat="1" ht="12" customHeight="1" x14ac:dyDescent="0.4">
      <c r="A114" s="20"/>
      <c r="B114" s="7" t="s">
        <v>9</v>
      </c>
      <c r="C114" s="9" t="str">
        <f t="shared" ca="1" si="5"/>
        <v/>
      </c>
      <c r="D114" s="9" t="str">
        <f>[1]!splitstr($A114," - ",COLUMNS($D:D)-1)</f>
        <v/>
      </c>
      <c r="E114" s="9" t="str">
        <f>[1]!splitstr($A114," - ",COLUMNS($D:E)-1)</f>
        <v/>
      </c>
      <c r="F114" s="8" t="str">
        <f>[1]!splitstr($A114," - ",COLUMNS($D:F)-1)</f>
        <v/>
      </c>
      <c r="G114" s="19" t="str">
        <f t="shared" si="4"/>
        <v/>
      </c>
    </row>
    <row r="115" spans="1:7" s="2" customFormat="1" ht="12" customHeight="1" x14ac:dyDescent="0.4">
      <c r="A115" s="20"/>
      <c r="B115" s="7" t="s">
        <v>9</v>
      </c>
      <c r="C115" s="9" t="str">
        <f t="shared" ca="1" si="5"/>
        <v/>
      </c>
      <c r="D115" s="9" t="str">
        <f>[1]!splitstr($A115," - ",COLUMNS($D:D)-1)</f>
        <v/>
      </c>
      <c r="E115" s="9" t="str">
        <f>[1]!splitstr($A115," - ",COLUMNS($D:E)-1)</f>
        <v/>
      </c>
      <c r="F115" s="8" t="str">
        <f>[1]!splitstr($A115," - ",COLUMNS($D:F)-1)</f>
        <v/>
      </c>
      <c r="G115" s="19" t="str">
        <f t="shared" si="4"/>
        <v/>
      </c>
    </row>
    <row r="116" spans="1:7" s="2" customFormat="1" ht="12" customHeight="1" x14ac:dyDescent="0.4">
      <c r="A116" s="20"/>
      <c r="B116" s="7" t="s">
        <v>9</v>
      </c>
      <c r="C116" s="9" t="str">
        <f t="shared" ca="1" si="5"/>
        <v/>
      </c>
      <c r="D116" s="9" t="str">
        <f>[1]!splitstr($A116," - ",COLUMNS($D:D)-1)</f>
        <v/>
      </c>
      <c r="E116" s="9" t="str">
        <f>[1]!splitstr($A116," - ",COLUMNS($D:E)-1)</f>
        <v/>
      </c>
      <c r="F116" s="8" t="str">
        <f>[1]!splitstr($A116," - ",COLUMNS($D:F)-1)</f>
        <v/>
      </c>
      <c r="G116" s="19" t="str">
        <f t="shared" si="4"/>
        <v/>
      </c>
    </row>
    <row r="117" spans="1:7" s="2" customFormat="1" ht="12" customHeight="1" x14ac:dyDescent="0.4">
      <c r="A117" s="20"/>
      <c r="B117" s="7" t="s">
        <v>9</v>
      </c>
      <c r="C117" s="9" t="str">
        <f t="shared" ca="1" si="5"/>
        <v/>
      </c>
      <c r="D117" s="9" t="str">
        <f>[1]!splitstr($A117," - ",COLUMNS($D:D)-1)</f>
        <v/>
      </c>
      <c r="E117" s="9" t="str">
        <f>[1]!splitstr($A117," - ",COLUMNS($D:E)-1)</f>
        <v/>
      </c>
      <c r="F117" s="8" t="str">
        <f>[1]!splitstr($A117," - ",COLUMNS($D:F)-1)</f>
        <v/>
      </c>
      <c r="G117" s="19" t="str">
        <f t="shared" si="4"/>
        <v/>
      </c>
    </row>
    <row r="118" spans="1:7" s="2" customFormat="1" ht="12" customHeight="1" x14ac:dyDescent="0.4">
      <c r="A118" s="20"/>
      <c r="B118" s="7" t="s">
        <v>9</v>
      </c>
      <c r="C118" s="9" t="str">
        <f t="shared" ca="1" si="5"/>
        <v/>
      </c>
      <c r="D118" s="9" t="str">
        <f>[1]!splitstr($A118," - ",COLUMNS($D:D)-1)</f>
        <v/>
      </c>
      <c r="E118" s="9" t="str">
        <f>[1]!splitstr($A118," - ",COLUMNS($D:E)-1)</f>
        <v/>
      </c>
      <c r="F118" s="8" t="str">
        <f>[1]!splitstr($A118," - ",COLUMNS($D:F)-1)</f>
        <v/>
      </c>
      <c r="G118" s="19" t="str">
        <f t="shared" si="4"/>
        <v/>
      </c>
    </row>
    <row r="119" spans="1:7" s="2" customFormat="1" ht="12" customHeight="1" x14ac:dyDescent="0.4">
      <c r="A119" s="20"/>
      <c r="B119" s="7" t="s">
        <v>9</v>
      </c>
      <c r="C119" s="9" t="str">
        <f t="shared" ca="1" si="5"/>
        <v/>
      </c>
      <c r="D119" s="9" t="str">
        <f>[1]!splitstr($A119," - ",COLUMNS($D:D)-1)</f>
        <v/>
      </c>
      <c r="E119" s="9" t="str">
        <f>[1]!splitstr($A119," - ",COLUMNS($D:E)-1)</f>
        <v/>
      </c>
      <c r="F119" s="8" t="str">
        <f>[1]!splitstr($A119," - ",COLUMNS($D:F)-1)</f>
        <v/>
      </c>
      <c r="G119" s="19" t="str">
        <f t="shared" si="4"/>
        <v/>
      </c>
    </row>
    <row r="120" spans="1:7" s="2" customFormat="1" ht="12" customHeight="1" x14ac:dyDescent="0.4">
      <c r="A120" s="20"/>
      <c r="B120" s="7" t="s">
        <v>9</v>
      </c>
      <c r="C120" s="9" t="str">
        <f t="shared" ca="1" si="5"/>
        <v/>
      </c>
      <c r="D120" s="9" t="str">
        <f>[1]!splitstr($A120," - ",COLUMNS($D:D)-1)</f>
        <v/>
      </c>
      <c r="E120" s="9" t="str">
        <f>[1]!splitstr($A120," - ",COLUMNS($D:E)-1)</f>
        <v/>
      </c>
      <c r="F120" s="8" t="str">
        <f>[1]!splitstr($A120," - ",COLUMNS($D:F)-1)</f>
        <v/>
      </c>
      <c r="G120" s="19" t="str">
        <f t="shared" si="4"/>
        <v/>
      </c>
    </row>
    <row r="121" spans="1:7" s="2" customFormat="1" ht="12" customHeight="1" x14ac:dyDescent="0.4">
      <c r="A121" s="20"/>
      <c r="B121" s="7" t="s">
        <v>9</v>
      </c>
      <c r="C121" s="9" t="str">
        <f t="shared" ca="1" si="5"/>
        <v/>
      </c>
      <c r="D121" s="9" t="str">
        <f>[1]!splitstr($A121," - ",COLUMNS($D:D)-1)</f>
        <v/>
      </c>
      <c r="E121" s="9" t="str">
        <f>[1]!splitstr($A121," - ",COLUMNS($D:E)-1)</f>
        <v/>
      </c>
      <c r="F121" s="8" t="str">
        <f>[1]!splitstr($A121," - ",COLUMNS($D:F)-1)</f>
        <v/>
      </c>
      <c r="G121" s="19" t="str">
        <f t="shared" si="4"/>
        <v/>
      </c>
    </row>
    <row r="122" spans="1:7" s="2" customFormat="1" ht="12" customHeight="1" x14ac:dyDescent="0.4">
      <c r="A122" s="20"/>
      <c r="B122" s="7" t="s">
        <v>9</v>
      </c>
      <c r="C122" s="9" t="str">
        <f t="shared" ca="1" si="5"/>
        <v/>
      </c>
      <c r="D122" s="9" t="str">
        <f>[1]!splitstr($A122," - ",COLUMNS($D:D)-1)</f>
        <v/>
      </c>
      <c r="E122" s="9" t="str">
        <f>[1]!splitstr($A122," - ",COLUMNS($D:E)-1)</f>
        <v/>
      </c>
      <c r="F122" s="8" t="str">
        <f>[1]!splitstr($A122," - ",COLUMNS($D:F)-1)</f>
        <v/>
      </c>
      <c r="G122" s="19" t="str">
        <f t="shared" si="4"/>
        <v/>
      </c>
    </row>
    <row r="123" spans="1:7" s="2" customFormat="1" ht="12" customHeight="1" x14ac:dyDescent="0.4">
      <c r="A123" s="20"/>
      <c r="B123" s="7" t="s">
        <v>9</v>
      </c>
      <c r="C123" s="9" t="str">
        <f t="shared" ca="1" si="5"/>
        <v/>
      </c>
      <c r="D123" s="9" t="str">
        <f>[1]!splitstr($A123," - ",COLUMNS($D:D)-1)</f>
        <v/>
      </c>
      <c r="E123" s="9" t="str">
        <f>[1]!splitstr($A123," - ",COLUMNS($D:E)-1)</f>
        <v/>
      </c>
      <c r="F123" s="8" t="str">
        <f>[1]!splitstr($A123," - ",COLUMNS($D:F)-1)</f>
        <v/>
      </c>
      <c r="G123" s="19" t="str">
        <f t="shared" si="4"/>
        <v/>
      </c>
    </row>
    <row r="124" spans="1:7" s="2" customFormat="1" ht="12" customHeight="1" x14ac:dyDescent="0.4">
      <c r="A124" s="20"/>
      <c r="B124" s="7" t="s">
        <v>9</v>
      </c>
      <c r="C124" s="9" t="str">
        <f t="shared" ca="1" si="5"/>
        <v/>
      </c>
      <c r="D124" s="9" t="str">
        <f>[1]!splitstr($A124," - ",COLUMNS($D:D)-1)</f>
        <v/>
      </c>
      <c r="E124" s="9" t="str">
        <f>[1]!splitstr($A124," - ",COLUMNS($D:E)-1)</f>
        <v/>
      </c>
      <c r="F124" s="8" t="str">
        <f>[1]!splitstr($A124," - ",COLUMNS($D:F)-1)</f>
        <v/>
      </c>
      <c r="G124" s="19" t="str">
        <f t="shared" si="4"/>
        <v/>
      </c>
    </row>
    <row r="125" spans="1:7" s="2" customFormat="1" ht="12" customHeight="1" x14ac:dyDescent="0.4">
      <c r="A125" s="20"/>
      <c r="B125" s="7" t="s">
        <v>9</v>
      </c>
      <c r="C125" s="9" t="str">
        <f t="shared" ca="1" si="5"/>
        <v/>
      </c>
      <c r="D125" s="9" t="str">
        <f>[1]!splitstr($A125," - ",COLUMNS($D:D)-1)</f>
        <v/>
      </c>
      <c r="E125" s="9" t="str">
        <f>[1]!splitstr($A125," - ",COLUMNS($D:E)-1)</f>
        <v/>
      </c>
      <c r="F125" s="8" t="str">
        <f>[1]!splitstr($A125," - ",COLUMNS($D:F)-1)</f>
        <v/>
      </c>
      <c r="G125" s="19" t="str">
        <f t="shared" si="4"/>
        <v/>
      </c>
    </row>
    <row r="126" spans="1:7" s="2" customFormat="1" ht="12" customHeight="1" x14ac:dyDescent="0.4">
      <c r="A126" s="20"/>
      <c r="B126" s="7" t="s">
        <v>9</v>
      </c>
      <c r="C126" s="9" t="str">
        <f t="shared" ca="1" si="5"/>
        <v/>
      </c>
      <c r="D126" s="9" t="str">
        <f>[1]!splitstr($A126," - ",COLUMNS($D:D)-1)</f>
        <v/>
      </c>
      <c r="E126" s="9" t="str">
        <f>[1]!splitstr($A126," - ",COLUMNS($D:E)-1)</f>
        <v/>
      </c>
      <c r="F126" s="8" t="str">
        <f>[1]!splitstr($A126," - ",COLUMNS($D:F)-1)</f>
        <v/>
      </c>
      <c r="G126" s="19" t="str">
        <f t="shared" si="4"/>
        <v/>
      </c>
    </row>
    <row r="127" spans="1:7" s="2" customFormat="1" ht="12" customHeight="1" x14ac:dyDescent="0.4">
      <c r="A127" s="20"/>
      <c r="B127" s="7" t="s">
        <v>9</v>
      </c>
      <c r="C127" s="9" t="str">
        <f t="shared" ca="1" si="5"/>
        <v/>
      </c>
      <c r="D127" s="9" t="str">
        <f>[1]!splitstr($A127," - ",COLUMNS($D:D)-1)</f>
        <v/>
      </c>
      <c r="E127" s="9" t="str">
        <f>[1]!splitstr($A127," - ",COLUMNS($D:E)-1)</f>
        <v/>
      </c>
      <c r="F127" s="8" t="str">
        <f>[1]!splitstr($A127," - ",COLUMNS($D:F)-1)</f>
        <v/>
      </c>
      <c r="G127" s="19" t="str">
        <f t="shared" si="4"/>
        <v/>
      </c>
    </row>
    <row r="128" spans="1:7" s="2" customFormat="1" ht="12" customHeight="1" x14ac:dyDescent="0.4">
      <c r="A128" s="20"/>
      <c r="B128" s="7" t="s">
        <v>9</v>
      </c>
      <c r="C128" s="9" t="str">
        <f t="shared" ca="1" si="5"/>
        <v/>
      </c>
      <c r="D128" s="9" t="str">
        <f>[1]!splitstr($A128," - ",COLUMNS($D:D)-1)</f>
        <v/>
      </c>
      <c r="E128" s="9" t="str">
        <f>[1]!splitstr($A128," - ",COLUMNS($D:E)-1)</f>
        <v/>
      </c>
      <c r="F128" s="8" t="str">
        <f>[1]!splitstr($A128," - ",COLUMNS($D:F)-1)</f>
        <v/>
      </c>
      <c r="G128" s="19" t="str">
        <f t="shared" si="4"/>
        <v/>
      </c>
    </row>
    <row r="129" spans="1:7" s="2" customFormat="1" ht="12" customHeight="1" x14ac:dyDescent="0.4">
      <c r="A129" s="20"/>
      <c r="B129" s="7" t="s">
        <v>9</v>
      </c>
      <c r="C129" s="9" t="str">
        <f t="shared" ca="1" si="5"/>
        <v/>
      </c>
      <c r="D129" s="9" t="str">
        <f>[1]!splitstr($A129," - ",COLUMNS($D:D)-1)</f>
        <v/>
      </c>
      <c r="E129" s="9" t="str">
        <f>[1]!splitstr($A129," - ",COLUMNS($D:E)-1)</f>
        <v/>
      </c>
      <c r="F129" s="8" t="str">
        <f>[1]!splitstr($A129," - ",COLUMNS($D:F)-1)</f>
        <v/>
      </c>
      <c r="G129" s="19" t="str">
        <f t="shared" si="4"/>
        <v/>
      </c>
    </row>
    <row r="130" spans="1:7" s="2" customFormat="1" ht="12" customHeight="1" x14ac:dyDescent="0.4">
      <c r="A130" s="20"/>
      <c r="B130" s="7" t="s">
        <v>9</v>
      </c>
      <c r="C130" s="9" t="str">
        <f t="shared" ref="C130:C161" ca="1" si="6">IF(
    OR(
        $A130="",
        OFFSET($A130,-1,0)=""
    ),
    "",
    IF(
        OFFSET($A130,-1,0)=$A$1,
        1,
        OFFSET($C130,-1,0)+1
    )
)</f>
        <v/>
      </c>
      <c r="D130" s="9" t="str">
        <f>[1]!splitstr($A130," - ",COLUMNS($D:D)-1)</f>
        <v/>
      </c>
      <c r="E130" s="9" t="str">
        <f>[1]!splitstr($A130," - ",COLUMNS($D:E)-1)</f>
        <v/>
      </c>
      <c r="F130" s="8" t="str">
        <f>[1]!splitstr($A130," - ",COLUMNS($D:F)-1)</f>
        <v/>
      </c>
      <c r="G130" s="19" t="str">
        <f t="shared" si="4"/>
        <v/>
      </c>
    </row>
    <row r="131" spans="1:7" s="2" customFormat="1" ht="12" customHeight="1" x14ac:dyDescent="0.4">
      <c r="A131" s="20"/>
      <c r="B131" s="7" t="s">
        <v>9</v>
      </c>
      <c r="C131" s="9" t="str">
        <f t="shared" ca="1" si="6"/>
        <v/>
      </c>
      <c r="D131" s="9" t="str">
        <f>[1]!splitstr($A131," - ",COLUMNS($D:D)-1)</f>
        <v/>
      </c>
      <c r="E131" s="9" t="str">
        <f>[1]!splitstr($A131," - ",COLUMNS($D:E)-1)</f>
        <v/>
      </c>
      <c r="F131" s="8" t="str">
        <f>[1]!splitstr($A131," - ",COLUMNS($D:F)-1)</f>
        <v/>
      </c>
      <c r="G131" s="19" t="str">
        <f t="shared" ref="G131:G194" si="7">IF(F131="","",TIMEVALUE(F131))</f>
        <v/>
      </c>
    </row>
    <row r="132" spans="1:7" s="2" customFormat="1" ht="12" customHeight="1" x14ac:dyDescent="0.4">
      <c r="A132" s="20"/>
      <c r="B132" s="7" t="s">
        <v>9</v>
      </c>
      <c r="C132" s="9" t="str">
        <f t="shared" ca="1" si="6"/>
        <v/>
      </c>
      <c r="D132" s="9" t="str">
        <f>[1]!splitstr($A132," - ",COLUMNS($D:D)-1)</f>
        <v/>
      </c>
      <c r="E132" s="9" t="str">
        <f>[1]!splitstr($A132," - ",COLUMNS($D:E)-1)</f>
        <v/>
      </c>
      <c r="F132" s="8" t="str">
        <f>[1]!splitstr($A132," - ",COLUMNS($D:F)-1)</f>
        <v/>
      </c>
      <c r="G132" s="19" t="str">
        <f t="shared" si="7"/>
        <v/>
      </c>
    </row>
    <row r="133" spans="1:7" s="2" customFormat="1" ht="12" customHeight="1" x14ac:dyDescent="0.4">
      <c r="A133" s="20"/>
      <c r="B133" s="7" t="s">
        <v>9</v>
      </c>
      <c r="C133" s="9" t="str">
        <f t="shared" ca="1" si="6"/>
        <v/>
      </c>
      <c r="D133" s="9" t="str">
        <f>[1]!splitstr($A133," - ",COLUMNS($D:D)-1)</f>
        <v/>
      </c>
      <c r="E133" s="9" t="str">
        <f>[1]!splitstr($A133," - ",COLUMNS($D:E)-1)</f>
        <v/>
      </c>
      <c r="F133" s="8" t="str">
        <f>[1]!splitstr($A133," - ",COLUMNS($D:F)-1)</f>
        <v/>
      </c>
      <c r="G133" s="19" t="str">
        <f t="shared" si="7"/>
        <v/>
      </c>
    </row>
    <row r="134" spans="1:7" s="2" customFormat="1" ht="12" customHeight="1" x14ac:dyDescent="0.4">
      <c r="A134" s="20"/>
      <c r="B134" s="7" t="s">
        <v>9</v>
      </c>
      <c r="C134" s="9" t="str">
        <f t="shared" ca="1" si="6"/>
        <v/>
      </c>
      <c r="D134" s="9" t="str">
        <f>[1]!splitstr($A134," - ",COLUMNS($D:D)-1)</f>
        <v/>
      </c>
      <c r="E134" s="9" t="str">
        <f>[1]!splitstr($A134," - ",COLUMNS($D:E)-1)</f>
        <v/>
      </c>
      <c r="F134" s="8" t="str">
        <f>[1]!splitstr($A134," - ",COLUMNS($D:F)-1)</f>
        <v/>
      </c>
      <c r="G134" s="19" t="str">
        <f t="shared" si="7"/>
        <v/>
      </c>
    </row>
    <row r="135" spans="1:7" s="2" customFormat="1" ht="12" customHeight="1" x14ac:dyDescent="0.4">
      <c r="A135" s="20"/>
      <c r="B135" s="7" t="s">
        <v>9</v>
      </c>
      <c r="C135" s="9" t="str">
        <f t="shared" ca="1" si="6"/>
        <v/>
      </c>
      <c r="D135" s="9" t="str">
        <f>[1]!splitstr($A135," - ",COLUMNS($D:D)-1)</f>
        <v/>
      </c>
      <c r="E135" s="9" t="str">
        <f>[1]!splitstr($A135," - ",COLUMNS($D:E)-1)</f>
        <v/>
      </c>
      <c r="F135" s="8" t="str">
        <f>[1]!splitstr($A135," - ",COLUMNS($D:F)-1)</f>
        <v/>
      </c>
      <c r="G135" s="19" t="str">
        <f t="shared" si="7"/>
        <v/>
      </c>
    </row>
    <row r="136" spans="1:7" s="2" customFormat="1" ht="12" customHeight="1" x14ac:dyDescent="0.4">
      <c r="A136" s="20"/>
      <c r="B136" s="7" t="s">
        <v>9</v>
      </c>
      <c r="C136" s="9" t="str">
        <f t="shared" ca="1" si="6"/>
        <v/>
      </c>
      <c r="D136" s="9" t="str">
        <f>[1]!splitstr($A136," - ",COLUMNS($D:D)-1)</f>
        <v/>
      </c>
      <c r="E136" s="9" t="str">
        <f>[1]!splitstr($A136," - ",COLUMNS($D:E)-1)</f>
        <v/>
      </c>
      <c r="F136" s="8" t="str">
        <f>[1]!splitstr($A136," - ",COLUMNS($D:F)-1)</f>
        <v/>
      </c>
      <c r="G136" s="19" t="str">
        <f t="shared" si="7"/>
        <v/>
      </c>
    </row>
    <row r="137" spans="1:7" s="2" customFormat="1" ht="12" customHeight="1" x14ac:dyDescent="0.4">
      <c r="A137" s="20"/>
      <c r="B137" s="7" t="s">
        <v>9</v>
      </c>
      <c r="C137" s="9" t="str">
        <f t="shared" ca="1" si="6"/>
        <v/>
      </c>
      <c r="D137" s="9" t="str">
        <f>[1]!splitstr($A137," - ",COLUMNS($D:D)-1)</f>
        <v/>
      </c>
      <c r="E137" s="9" t="str">
        <f>[1]!splitstr($A137," - ",COLUMNS($D:E)-1)</f>
        <v/>
      </c>
      <c r="F137" s="8" t="str">
        <f>[1]!splitstr($A137," - ",COLUMNS($D:F)-1)</f>
        <v/>
      </c>
      <c r="G137" s="19" t="str">
        <f t="shared" si="7"/>
        <v/>
      </c>
    </row>
    <row r="138" spans="1:7" s="2" customFormat="1" ht="12" customHeight="1" x14ac:dyDescent="0.4">
      <c r="A138" s="20"/>
      <c r="B138" s="7" t="s">
        <v>9</v>
      </c>
      <c r="C138" s="9" t="str">
        <f t="shared" ca="1" si="6"/>
        <v/>
      </c>
      <c r="D138" s="9" t="str">
        <f>[1]!splitstr($A138," - ",COLUMNS($D:D)-1)</f>
        <v/>
      </c>
      <c r="E138" s="9" t="str">
        <f>[1]!splitstr($A138," - ",COLUMNS($D:E)-1)</f>
        <v/>
      </c>
      <c r="F138" s="8" t="str">
        <f>[1]!splitstr($A138," - ",COLUMNS($D:F)-1)</f>
        <v/>
      </c>
      <c r="G138" s="19" t="str">
        <f t="shared" si="7"/>
        <v/>
      </c>
    </row>
    <row r="139" spans="1:7" s="2" customFormat="1" ht="12" customHeight="1" x14ac:dyDescent="0.4">
      <c r="A139" s="20"/>
      <c r="B139" s="7" t="s">
        <v>9</v>
      </c>
      <c r="C139" s="9" t="str">
        <f t="shared" ca="1" si="6"/>
        <v/>
      </c>
      <c r="D139" s="9" t="str">
        <f>[1]!splitstr($A139," - ",COLUMNS($D:D)-1)</f>
        <v/>
      </c>
      <c r="E139" s="9" t="str">
        <f>[1]!splitstr($A139," - ",COLUMNS($D:E)-1)</f>
        <v/>
      </c>
      <c r="F139" s="8" t="str">
        <f>[1]!splitstr($A139," - ",COLUMNS($D:F)-1)</f>
        <v/>
      </c>
      <c r="G139" s="19" t="str">
        <f t="shared" si="7"/>
        <v/>
      </c>
    </row>
    <row r="140" spans="1:7" s="2" customFormat="1" ht="12" customHeight="1" x14ac:dyDescent="0.4">
      <c r="A140" s="20"/>
      <c r="B140" s="7" t="s">
        <v>9</v>
      </c>
      <c r="C140" s="9" t="str">
        <f t="shared" ca="1" si="6"/>
        <v/>
      </c>
      <c r="D140" s="9" t="str">
        <f>[1]!splitstr($A140," - ",COLUMNS($D:D)-1)</f>
        <v/>
      </c>
      <c r="E140" s="9" t="str">
        <f>[1]!splitstr($A140," - ",COLUMNS($D:E)-1)</f>
        <v/>
      </c>
      <c r="F140" s="8" t="str">
        <f>[1]!splitstr($A140," - ",COLUMNS($D:F)-1)</f>
        <v/>
      </c>
      <c r="G140" s="19" t="str">
        <f t="shared" si="7"/>
        <v/>
      </c>
    </row>
    <row r="141" spans="1:7" s="2" customFormat="1" ht="12" customHeight="1" x14ac:dyDescent="0.4">
      <c r="A141" s="20"/>
      <c r="B141" s="7" t="s">
        <v>9</v>
      </c>
      <c r="C141" s="9" t="str">
        <f t="shared" ca="1" si="6"/>
        <v/>
      </c>
      <c r="D141" s="9" t="str">
        <f>[1]!splitstr($A141," - ",COLUMNS($D:D)-1)</f>
        <v/>
      </c>
      <c r="E141" s="9" t="str">
        <f>[1]!splitstr($A141," - ",COLUMNS($D:E)-1)</f>
        <v/>
      </c>
      <c r="F141" s="8" t="str">
        <f>[1]!splitstr($A141," - ",COLUMNS($D:F)-1)</f>
        <v/>
      </c>
      <c r="G141" s="19" t="str">
        <f t="shared" si="7"/>
        <v/>
      </c>
    </row>
    <row r="142" spans="1:7" s="2" customFormat="1" ht="12" customHeight="1" x14ac:dyDescent="0.4">
      <c r="A142" s="20"/>
      <c r="B142" s="7" t="s">
        <v>9</v>
      </c>
      <c r="C142" s="9" t="str">
        <f t="shared" ca="1" si="6"/>
        <v/>
      </c>
      <c r="D142" s="9" t="str">
        <f>[1]!splitstr($A142," - ",COLUMNS($D:D)-1)</f>
        <v/>
      </c>
      <c r="E142" s="9" t="str">
        <f>[1]!splitstr($A142," - ",COLUMNS($D:E)-1)</f>
        <v/>
      </c>
      <c r="F142" s="8" t="str">
        <f>[1]!splitstr($A142," - ",COLUMNS($D:F)-1)</f>
        <v/>
      </c>
      <c r="G142" s="19" t="str">
        <f t="shared" si="7"/>
        <v/>
      </c>
    </row>
    <row r="143" spans="1:7" s="2" customFormat="1" ht="12" customHeight="1" x14ac:dyDescent="0.4">
      <c r="A143" s="20"/>
      <c r="B143" s="7" t="s">
        <v>9</v>
      </c>
      <c r="C143" s="9" t="str">
        <f t="shared" ca="1" si="6"/>
        <v/>
      </c>
      <c r="D143" s="9" t="str">
        <f>[1]!splitstr($A143," - ",COLUMNS($D:D)-1)</f>
        <v/>
      </c>
      <c r="E143" s="9" t="str">
        <f>[1]!splitstr($A143," - ",COLUMNS($D:E)-1)</f>
        <v/>
      </c>
      <c r="F143" s="8" t="str">
        <f>[1]!splitstr($A143," - ",COLUMNS($D:F)-1)</f>
        <v/>
      </c>
      <c r="G143" s="19" t="str">
        <f t="shared" si="7"/>
        <v/>
      </c>
    </row>
    <row r="144" spans="1:7" s="2" customFormat="1" ht="12" customHeight="1" x14ac:dyDescent="0.4">
      <c r="A144" s="20"/>
      <c r="B144" s="7" t="s">
        <v>9</v>
      </c>
      <c r="C144" s="9" t="str">
        <f t="shared" ca="1" si="6"/>
        <v/>
      </c>
      <c r="D144" s="9" t="str">
        <f>[1]!splitstr($A144," - ",COLUMNS($D:D)-1)</f>
        <v/>
      </c>
      <c r="E144" s="9" t="str">
        <f>[1]!splitstr($A144," - ",COLUMNS($D:E)-1)</f>
        <v/>
      </c>
      <c r="F144" s="8" t="str">
        <f>[1]!splitstr($A144," - ",COLUMNS($D:F)-1)</f>
        <v/>
      </c>
      <c r="G144" s="19" t="str">
        <f t="shared" si="7"/>
        <v/>
      </c>
    </row>
    <row r="145" spans="1:7" s="2" customFormat="1" ht="12" customHeight="1" x14ac:dyDescent="0.4">
      <c r="A145" s="20"/>
      <c r="B145" s="7" t="s">
        <v>9</v>
      </c>
      <c r="C145" s="9" t="str">
        <f t="shared" ca="1" si="6"/>
        <v/>
      </c>
      <c r="D145" s="9" t="str">
        <f>[1]!splitstr($A145," - ",COLUMNS($D:D)-1)</f>
        <v/>
      </c>
      <c r="E145" s="9" t="str">
        <f>[1]!splitstr($A145," - ",COLUMNS($D:E)-1)</f>
        <v/>
      </c>
      <c r="F145" s="8" t="str">
        <f>[1]!splitstr($A145," - ",COLUMNS($D:F)-1)</f>
        <v/>
      </c>
      <c r="G145" s="19" t="str">
        <f t="shared" si="7"/>
        <v/>
      </c>
    </row>
    <row r="146" spans="1:7" s="2" customFormat="1" ht="12" customHeight="1" x14ac:dyDescent="0.4">
      <c r="A146" s="20"/>
      <c r="B146" s="7" t="s">
        <v>9</v>
      </c>
      <c r="C146" s="9" t="str">
        <f t="shared" ca="1" si="6"/>
        <v/>
      </c>
      <c r="D146" s="9" t="str">
        <f>[1]!splitstr($A146," - ",COLUMNS($D:D)-1)</f>
        <v/>
      </c>
      <c r="E146" s="9" t="str">
        <f>[1]!splitstr($A146," - ",COLUMNS($D:E)-1)</f>
        <v/>
      </c>
      <c r="F146" s="8" t="str">
        <f>[1]!splitstr($A146," - ",COLUMNS($D:F)-1)</f>
        <v/>
      </c>
      <c r="G146" s="19" t="str">
        <f t="shared" si="7"/>
        <v/>
      </c>
    </row>
    <row r="147" spans="1:7" s="2" customFormat="1" ht="12" customHeight="1" x14ac:dyDescent="0.4">
      <c r="A147" s="20"/>
      <c r="B147" s="7" t="s">
        <v>9</v>
      </c>
      <c r="C147" s="9" t="str">
        <f t="shared" ca="1" si="6"/>
        <v/>
      </c>
      <c r="D147" s="9" t="str">
        <f>[1]!splitstr($A147," - ",COLUMNS($D:D)-1)</f>
        <v/>
      </c>
      <c r="E147" s="9" t="str">
        <f>[1]!splitstr($A147," - ",COLUMNS($D:E)-1)</f>
        <v/>
      </c>
      <c r="F147" s="8" t="str">
        <f>[1]!splitstr($A147," - ",COLUMNS($D:F)-1)</f>
        <v/>
      </c>
      <c r="G147" s="19" t="str">
        <f t="shared" si="7"/>
        <v/>
      </c>
    </row>
    <row r="148" spans="1:7" s="2" customFormat="1" ht="12" customHeight="1" x14ac:dyDescent="0.4">
      <c r="A148" s="20"/>
      <c r="B148" s="7" t="s">
        <v>9</v>
      </c>
      <c r="C148" s="9" t="str">
        <f t="shared" ca="1" si="6"/>
        <v/>
      </c>
      <c r="D148" s="9" t="str">
        <f>[1]!splitstr($A148," - ",COLUMNS($D:D)-1)</f>
        <v/>
      </c>
      <c r="E148" s="9" t="str">
        <f>[1]!splitstr($A148," - ",COLUMNS($D:E)-1)</f>
        <v/>
      </c>
      <c r="F148" s="8" t="str">
        <f>[1]!splitstr($A148," - ",COLUMNS($D:F)-1)</f>
        <v/>
      </c>
      <c r="G148" s="19" t="str">
        <f t="shared" si="7"/>
        <v/>
      </c>
    </row>
    <row r="149" spans="1:7" s="2" customFormat="1" ht="12" customHeight="1" x14ac:dyDescent="0.4">
      <c r="A149" s="20"/>
      <c r="B149" s="7" t="s">
        <v>9</v>
      </c>
      <c r="C149" s="9" t="str">
        <f t="shared" ca="1" si="6"/>
        <v/>
      </c>
      <c r="D149" s="9" t="str">
        <f>[1]!splitstr($A149," - ",COLUMNS($D:D)-1)</f>
        <v/>
      </c>
      <c r="E149" s="9" t="str">
        <f>[1]!splitstr($A149," - ",COLUMNS($D:E)-1)</f>
        <v/>
      </c>
      <c r="F149" s="8" t="str">
        <f>[1]!splitstr($A149," - ",COLUMNS($D:F)-1)</f>
        <v/>
      </c>
      <c r="G149" s="19" t="str">
        <f t="shared" si="7"/>
        <v/>
      </c>
    </row>
    <row r="150" spans="1:7" s="2" customFormat="1" ht="12" customHeight="1" x14ac:dyDescent="0.4">
      <c r="A150" s="20"/>
      <c r="B150" s="7" t="s">
        <v>9</v>
      </c>
      <c r="C150" s="9" t="str">
        <f t="shared" ca="1" si="6"/>
        <v/>
      </c>
      <c r="D150" s="9" t="str">
        <f>[1]!splitstr($A150," - ",COLUMNS($D:D)-1)</f>
        <v/>
      </c>
      <c r="E150" s="9" t="str">
        <f>[1]!splitstr($A150," - ",COLUMNS($D:E)-1)</f>
        <v/>
      </c>
      <c r="F150" s="8" t="str">
        <f>[1]!splitstr($A150," - ",COLUMNS($D:F)-1)</f>
        <v/>
      </c>
      <c r="G150" s="19" t="str">
        <f t="shared" si="7"/>
        <v/>
      </c>
    </row>
    <row r="151" spans="1:7" s="2" customFormat="1" ht="12" customHeight="1" x14ac:dyDescent="0.4">
      <c r="A151" s="20"/>
      <c r="B151" s="7" t="s">
        <v>9</v>
      </c>
      <c r="C151" s="9" t="str">
        <f t="shared" ca="1" si="6"/>
        <v/>
      </c>
      <c r="D151" s="9" t="str">
        <f>[1]!splitstr($A151," - ",COLUMNS($D:D)-1)</f>
        <v/>
      </c>
      <c r="E151" s="9" t="str">
        <f>[1]!splitstr($A151," - ",COLUMNS($D:E)-1)</f>
        <v/>
      </c>
      <c r="F151" s="8" t="str">
        <f>[1]!splitstr($A151," - ",COLUMNS($D:F)-1)</f>
        <v/>
      </c>
      <c r="G151" s="19" t="str">
        <f t="shared" si="7"/>
        <v/>
      </c>
    </row>
    <row r="152" spans="1:7" s="2" customFormat="1" ht="12" customHeight="1" x14ac:dyDescent="0.4">
      <c r="A152" s="20"/>
      <c r="B152" s="7" t="s">
        <v>9</v>
      </c>
      <c r="C152" s="9" t="str">
        <f t="shared" ca="1" si="6"/>
        <v/>
      </c>
      <c r="D152" s="9" t="str">
        <f>[1]!splitstr($A152," - ",COLUMNS($D:D)-1)</f>
        <v/>
      </c>
      <c r="E152" s="9" t="str">
        <f>[1]!splitstr($A152," - ",COLUMNS($D:E)-1)</f>
        <v/>
      </c>
      <c r="F152" s="8" t="str">
        <f>[1]!splitstr($A152," - ",COLUMNS($D:F)-1)</f>
        <v/>
      </c>
      <c r="G152" s="19" t="str">
        <f t="shared" si="7"/>
        <v/>
      </c>
    </row>
    <row r="153" spans="1:7" s="2" customFormat="1" ht="12" customHeight="1" x14ac:dyDescent="0.4">
      <c r="A153" s="20"/>
      <c r="B153" s="7" t="s">
        <v>9</v>
      </c>
      <c r="C153" s="9" t="str">
        <f t="shared" ca="1" si="6"/>
        <v/>
      </c>
      <c r="D153" s="9" t="str">
        <f>[1]!splitstr($A153," - ",COLUMNS($D:D)-1)</f>
        <v/>
      </c>
      <c r="E153" s="9" t="str">
        <f>[1]!splitstr($A153," - ",COLUMNS($D:E)-1)</f>
        <v/>
      </c>
      <c r="F153" s="8" t="str">
        <f>[1]!splitstr($A153," - ",COLUMNS($D:F)-1)</f>
        <v/>
      </c>
      <c r="G153" s="19" t="str">
        <f t="shared" si="7"/>
        <v/>
      </c>
    </row>
    <row r="154" spans="1:7" s="2" customFormat="1" ht="12" customHeight="1" x14ac:dyDescent="0.4">
      <c r="A154" s="20"/>
      <c r="B154" s="7" t="s">
        <v>9</v>
      </c>
      <c r="C154" s="9" t="str">
        <f t="shared" ca="1" si="6"/>
        <v/>
      </c>
      <c r="D154" s="9" t="str">
        <f>[1]!splitstr($A154," - ",COLUMNS($D:D)-1)</f>
        <v/>
      </c>
      <c r="E154" s="9" t="str">
        <f>[1]!splitstr($A154," - ",COLUMNS($D:E)-1)</f>
        <v/>
      </c>
      <c r="F154" s="8" t="str">
        <f>[1]!splitstr($A154," - ",COLUMNS($D:F)-1)</f>
        <v/>
      </c>
      <c r="G154" s="19" t="str">
        <f t="shared" si="7"/>
        <v/>
      </c>
    </row>
    <row r="155" spans="1:7" s="2" customFormat="1" ht="12" customHeight="1" x14ac:dyDescent="0.4">
      <c r="A155" s="20"/>
      <c r="B155" s="7" t="s">
        <v>9</v>
      </c>
      <c r="C155" s="9" t="str">
        <f t="shared" ca="1" si="6"/>
        <v/>
      </c>
      <c r="D155" s="9" t="str">
        <f>[1]!splitstr($A155," - ",COLUMNS($D:D)-1)</f>
        <v/>
      </c>
      <c r="E155" s="9" t="str">
        <f>[1]!splitstr($A155," - ",COLUMNS($D:E)-1)</f>
        <v/>
      </c>
      <c r="F155" s="8" t="str">
        <f>[1]!splitstr($A155," - ",COLUMNS($D:F)-1)</f>
        <v/>
      </c>
      <c r="G155" s="19" t="str">
        <f t="shared" si="7"/>
        <v/>
      </c>
    </row>
    <row r="156" spans="1:7" s="2" customFormat="1" ht="12" customHeight="1" x14ac:dyDescent="0.4">
      <c r="A156" s="20"/>
      <c r="B156" s="7" t="s">
        <v>9</v>
      </c>
      <c r="C156" s="9" t="str">
        <f t="shared" ca="1" si="6"/>
        <v/>
      </c>
      <c r="D156" s="9" t="str">
        <f>[1]!splitstr($A156," - ",COLUMNS($D:D)-1)</f>
        <v/>
      </c>
      <c r="E156" s="9" t="str">
        <f>[1]!splitstr($A156," - ",COLUMNS($D:E)-1)</f>
        <v/>
      </c>
      <c r="F156" s="8" t="str">
        <f>[1]!splitstr($A156," - ",COLUMNS($D:F)-1)</f>
        <v/>
      </c>
      <c r="G156" s="19" t="str">
        <f t="shared" si="7"/>
        <v/>
      </c>
    </row>
    <row r="157" spans="1:7" s="2" customFormat="1" ht="12" customHeight="1" x14ac:dyDescent="0.4">
      <c r="A157" s="20"/>
      <c r="B157" s="7" t="s">
        <v>9</v>
      </c>
      <c r="C157" s="9" t="str">
        <f t="shared" ca="1" si="6"/>
        <v/>
      </c>
      <c r="D157" s="9" t="str">
        <f>[1]!splitstr($A157," - ",COLUMNS($D:D)-1)</f>
        <v/>
      </c>
      <c r="E157" s="9" t="str">
        <f>[1]!splitstr($A157," - ",COLUMNS($D:E)-1)</f>
        <v/>
      </c>
      <c r="F157" s="8" t="str">
        <f>[1]!splitstr($A157," - ",COLUMNS($D:F)-1)</f>
        <v/>
      </c>
      <c r="G157" s="19" t="str">
        <f t="shared" si="7"/>
        <v/>
      </c>
    </row>
    <row r="158" spans="1:7" s="2" customFormat="1" ht="12" customHeight="1" x14ac:dyDescent="0.4">
      <c r="A158" s="20"/>
      <c r="B158" s="7" t="s">
        <v>9</v>
      </c>
      <c r="C158" s="9" t="str">
        <f t="shared" ca="1" si="6"/>
        <v/>
      </c>
      <c r="D158" s="9" t="str">
        <f>[1]!splitstr($A158," - ",COLUMNS($D:D)-1)</f>
        <v/>
      </c>
      <c r="E158" s="9" t="str">
        <f>[1]!splitstr($A158," - ",COLUMNS($D:E)-1)</f>
        <v/>
      </c>
      <c r="F158" s="8" t="str">
        <f>[1]!splitstr($A158," - ",COLUMNS($D:F)-1)</f>
        <v/>
      </c>
      <c r="G158" s="19" t="str">
        <f t="shared" si="7"/>
        <v/>
      </c>
    </row>
    <row r="159" spans="1:7" s="2" customFormat="1" ht="12" customHeight="1" x14ac:dyDescent="0.4">
      <c r="A159" s="20"/>
      <c r="B159" s="7" t="s">
        <v>9</v>
      </c>
      <c r="C159" s="9" t="str">
        <f t="shared" ca="1" si="6"/>
        <v/>
      </c>
      <c r="D159" s="9" t="str">
        <f>[1]!splitstr($A159," - ",COLUMNS($D:D)-1)</f>
        <v/>
      </c>
      <c r="E159" s="9" t="str">
        <f>[1]!splitstr($A159," - ",COLUMNS($D:E)-1)</f>
        <v/>
      </c>
      <c r="F159" s="8" t="str">
        <f>[1]!splitstr($A159," - ",COLUMNS($D:F)-1)</f>
        <v/>
      </c>
      <c r="G159" s="19" t="str">
        <f t="shared" si="7"/>
        <v/>
      </c>
    </row>
    <row r="160" spans="1:7" s="2" customFormat="1" ht="12" customHeight="1" x14ac:dyDescent="0.4">
      <c r="A160" s="20"/>
      <c r="B160" s="7" t="s">
        <v>9</v>
      </c>
      <c r="C160" s="9" t="str">
        <f t="shared" ca="1" si="6"/>
        <v/>
      </c>
      <c r="D160" s="9" t="str">
        <f>[1]!splitstr($A160," - ",COLUMNS($D:D)-1)</f>
        <v/>
      </c>
      <c r="E160" s="9" t="str">
        <f>[1]!splitstr($A160," - ",COLUMNS($D:E)-1)</f>
        <v/>
      </c>
      <c r="F160" s="8" t="str">
        <f>[1]!splitstr($A160," - ",COLUMNS($D:F)-1)</f>
        <v/>
      </c>
      <c r="G160" s="19" t="str">
        <f t="shared" si="7"/>
        <v/>
      </c>
    </row>
    <row r="161" spans="1:7" s="2" customFormat="1" ht="12" customHeight="1" x14ac:dyDescent="0.4">
      <c r="A161" s="20"/>
      <c r="B161" s="7" t="s">
        <v>9</v>
      </c>
      <c r="C161" s="9" t="str">
        <f t="shared" ca="1" si="6"/>
        <v/>
      </c>
      <c r="D161" s="9" t="str">
        <f>[1]!splitstr($A161," - ",COLUMNS($D:D)-1)</f>
        <v/>
      </c>
      <c r="E161" s="9" t="str">
        <f>[1]!splitstr($A161," - ",COLUMNS($D:E)-1)</f>
        <v/>
      </c>
      <c r="F161" s="8" t="str">
        <f>[1]!splitstr($A161," - ",COLUMNS($D:F)-1)</f>
        <v/>
      </c>
      <c r="G161" s="19" t="str">
        <f t="shared" si="7"/>
        <v/>
      </c>
    </row>
    <row r="162" spans="1:7" s="2" customFormat="1" ht="12" customHeight="1" x14ac:dyDescent="0.4">
      <c r="A162" s="20"/>
      <c r="B162" s="7" t="s">
        <v>9</v>
      </c>
      <c r="C162" s="9" t="str">
        <f t="shared" ref="C162:C193" ca="1" si="8">IF(
    OR(
        $A162="",
        OFFSET($A162,-1,0)=""
    ),
    "",
    IF(
        OFFSET($A162,-1,0)=$A$1,
        1,
        OFFSET($C162,-1,0)+1
    )
)</f>
        <v/>
      </c>
      <c r="D162" s="9" t="str">
        <f>[1]!splitstr($A162," - ",COLUMNS($D:D)-1)</f>
        <v/>
      </c>
      <c r="E162" s="9" t="str">
        <f>[1]!splitstr($A162," - ",COLUMNS($D:E)-1)</f>
        <v/>
      </c>
      <c r="F162" s="8" t="str">
        <f>[1]!splitstr($A162," - ",COLUMNS($D:F)-1)</f>
        <v/>
      </c>
      <c r="G162" s="19" t="str">
        <f t="shared" si="7"/>
        <v/>
      </c>
    </row>
    <row r="163" spans="1:7" s="2" customFormat="1" ht="12" customHeight="1" x14ac:dyDescent="0.4">
      <c r="A163" s="20"/>
      <c r="B163" s="7" t="s">
        <v>9</v>
      </c>
      <c r="C163" s="9" t="str">
        <f t="shared" ca="1" si="8"/>
        <v/>
      </c>
      <c r="D163" s="9" t="str">
        <f>[1]!splitstr($A163," - ",COLUMNS($D:D)-1)</f>
        <v/>
      </c>
      <c r="E163" s="9" t="str">
        <f>[1]!splitstr($A163," - ",COLUMNS($D:E)-1)</f>
        <v/>
      </c>
      <c r="F163" s="8" t="str">
        <f>[1]!splitstr($A163," - ",COLUMNS($D:F)-1)</f>
        <v/>
      </c>
      <c r="G163" s="19" t="str">
        <f t="shared" si="7"/>
        <v/>
      </c>
    </row>
    <row r="164" spans="1:7" s="2" customFormat="1" ht="12" customHeight="1" x14ac:dyDescent="0.4">
      <c r="A164" s="20"/>
      <c r="B164" s="7" t="s">
        <v>9</v>
      </c>
      <c r="C164" s="9" t="str">
        <f t="shared" ca="1" si="8"/>
        <v/>
      </c>
      <c r="D164" s="9" t="str">
        <f>[1]!splitstr($A164," - ",COLUMNS($D:D)-1)</f>
        <v/>
      </c>
      <c r="E164" s="9" t="str">
        <f>[1]!splitstr($A164," - ",COLUMNS($D:E)-1)</f>
        <v/>
      </c>
      <c r="F164" s="8" t="str">
        <f>[1]!splitstr($A164," - ",COLUMNS($D:F)-1)</f>
        <v/>
      </c>
      <c r="G164" s="19" t="str">
        <f t="shared" si="7"/>
        <v/>
      </c>
    </row>
    <row r="165" spans="1:7" s="2" customFormat="1" ht="12" customHeight="1" x14ac:dyDescent="0.4">
      <c r="A165" s="20"/>
      <c r="B165" s="7" t="s">
        <v>9</v>
      </c>
      <c r="C165" s="9" t="str">
        <f t="shared" ca="1" si="8"/>
        <v/>
      </c>
      <c r="D165" s="9" t="str">
        <f>[1]!splitstr($A165," - ",COLUMNS($D:D)-1)</f>
        <v/>
      </c>
      <c r="E165" s="9" t="str">
        <f>[1]!splitstr($A165," - ",COLUMNS($D:E)-1)</f>
        <v/>
      </c>
      <c r="F165" s="8" t="str">
        <f>[1]!splitstr($A165," - ",COLUMNS($D:F)-1)</f>
        <v/>
      </c>
      <c r="G165" s="19" t="str">
        <f t="shared" si="7"/>
        <v/>
      </c>
    </row>
    <row r="166" spans="1:7" s="2" customFormat="1" ht="12" customHeight="1" x14ac:dyDescent="0.4">
      <c r="A166" s="20"/>
      <c r="B166" s="7" t="s">
        <v>9</v>
      </c>
      <c r="C166" s="9" t="str">
        <f t="shared" ca="1" si="8"/>
        <v/>
      </c>
      <c r="D166" s="9" t="str">
        <f>[1]!splitstr($A166," - ",COLUMNS($D:D)-1)</f>
        <v/>
      </c>
      <c r="E166" s="9" t="str">
        <f>[1]!splitstr($A166," - ",COLUMNS($D:E)-1)</f>
        <v/>
      </c>
      <c r="F166" s="8" t="str">
        <f>[1]!splitstr($A166," - ",COLUMNS($D:F)-1)</f>
        <v/>
      </c>
      <c r="G166" s="19" t="str">
        <f t="shared" si="7"/>
        <v/>
      </c>
    </row>
    <row r="167" spans="1:7" s="2" customFormat="1" ht="12" customHeight="1" x14ac:dyDescent="0.4">
      <c r="A167" s="20"/>
      <c r="B167" s="7" t="s">
        <v>9</v>
      </c>
      <c r="C167" s="9" t="str">
        <f t="shared" ca="1" si="8"/>
        <v/>
      </c>
      <c r="D167" s="9" t="str">
        <f>[1]!splitstr($A167," - ",COLUMNS($D:D)-1)</f>
        <v/>
      </c>
      <c r="E167" s="9" t="str">
        <f>[1]!splitstr($A167," - ",COLUMNS($D:E)-1)</f>
        <v/>
      </c>
      <c r="F167" s="8" t="str">
        <f>[1]!splitstr($A167," - ",COLUMNS($D:F)-1)</f>
        <v/>
      </c>
      <c r="G167" s="19" t="str">
        <f t="shared" si="7"/>
        <v/>
      </c>
    </row>
    <row r="168" spans="1:7" s="2" customFormat="1" ht="12" customHeight="1" x14ac:dyDescent="0.4">
      <c r="A168" s="20"/>
      <c r="B168" s="7" t="s">
        <v>9</v>
      </c>
      <c r="C168" s="9" t="str">
        <f t="shared" ca="1" si="8"/>
        <v/>
      </c>
      <c r="D168" s="9" t="str">
        <f>[1]!splitstr($A168," - ",COLUMNS($D:D)-1)</f>
        <v/>
      </c>
      <c r="E168" s="9" t="str">
        <f>[1]!splitstr($A168," - ",COLUMNS($D:E)-1)</f>
        <v/>
      </c>
      <c r="F168" s="8" t="str">
        <f>[1]!splitstr($A168," - ",COLUMNS($D:F)-1)</f>
        <v/>
      </c>
      <c r="G168" s="19" t="str">
        <f t="shared" si="7"/>
        <v/>
      </c>
    </row>
    <row r="169" spans="1:7" s="2" customFormat="1" ht="12" customHeight="1" x14ac:dyDescent="0.4">
      <c r="A169" s="20"/>
      <c r="B169" s="7" t="s">
        <v>9</v>
      </c>
      <c r="C169" s="9" t="str">
        <f t="shared" ca="1" si="8"/>
        <v/>
      </c>
      <c r="D169" s="9" t="str">
        <f>[1]!splitstr($A169," - ",COLUMNS($D:D)-1)</f>
        <v/>
      </c>
      <c r="E169" s="9" t="str">
        <f>[1]!splitstr($A169," - ",COLUMNS($D:E)-1)</f>
        <v/>
      </c>
      <c r="F169" s="8" t="str">
        <f>[1]!splitstr($A169," - ",COLUMNS($D:F)-1)</f>
        <v/>
      </c>
      <c r="G169" s="19" t="str">
        <f t="shared" si="7"/>
        <v/>
      </c>
    </row>
    <row r="170" spans="1:7" s="2" customFormat="1" ht="12" customHeight="1" x14ac:dyDescent="0.4">
      <c r="A170" s="20"/>
      <c r="B170" s="7" t="s">
        <v>9</v>
      </c>
      <c r="C170" s="9" t="str">
        <f t="shared" ca="1" si="8"/>
        <v/>
      </c>
      <c r="D170" s="9" t="str">
        <f>[1]!splitstr($A170," - ",COLUMNS($D:D)-1)</f>
        <v/>
      </c>
      <c r="E170" s="9" t="str">
        <f>[1]!splitstr($A170," - ",COLUMNS($D:E)-1)</f>
        <v/>
      </c>
      <c r="F170" s="8" t="str">
        <f>[1]!splitstr($A170," - ",COLUMNS($D:F)-1)</f>
        <v/>
      </c>
      <c r="G170" s="19" t="str">
        <f t="shared" si="7"/>
        <v/>
      </c>
    </row>
    <row r="171" spans="1:7" s="2" customFormat="1" ht="12" customHeight="1" x14ac:dyDescent="0.4">
      <c r="A171" s="20"/>
      <c r="B171" s="7" t="s">
        <v>9</v>
      </c>
      <c r="C171" s="9" t="str">
        <f t="shared" ca="1" si="8"/>
        <v/>
      </c>
      <c r="D171" s="9" t="str">
        <f>[1]!splitstr($A171," - ",COLUMNS($D:D)-1)</f>
        <v/>
      </c>
      <c r="E171" s="9" t="str">
        <f>[1]!splitstr($A171," - ",COLUMNS($D:E)-1)</f>
        <v/>
      </c>
      <c r="F171" s="8" t="str">
        <f>[1]!splitstr($A171," - ",COLUMNS($D:F)-1)</f>
        <v/>
      </c>
      <c r="G171" s="19" t="str">
        <f t="shared" si="7"/>
        <v/>
      </c>
    </row>
    <row r="172" spans="1:7" s="2" customFormat="1" ht="12" customHeight="1" x14ac:dyDescent="0.4">
      <c r="A172" s="20"/>
      <c r="B172" s="7" t="s">
        <v>9</v>
      </c>
      <c r="C172" s="9" t="str">
        <f t="shared" ca="1" si="8"/>
        <v/>
      </c>
      <c r="D172" s="9" t="str">
        <f>[1]!splitstr($A172," - ",COLUMNS($D:D)-1)</f>
        <v/>
      </c>
      <c r="E172" s="9" t="str">
        <f>[1]!splitstr($A172," - ",COLUMNS($D:E)-1)</f>
        <v/>
      </c>
      <c r="F172" s="8" t="str">
        <f>[1]!splitstr($A172," - ",COLUMNS($D:F)-1)</f>
        <v/>
      </c>
      <c r="G172" s="19" t="str">
        <f t="shared" si="7"/>
        <v/>
      </c>
    </row>
    <row r="173" spans="1:7" s="2" customFormat="1" ht="12" customHeight="1" x14ac:dyDescent="0.4">
      <c r="A173" s="20"/>
      <c r="B173" s="7" t="s">
        <v>9</v>
      </c>
      <c r="C173" s="9" t="str">
        <f t="shared" ca="1" si="8"/>
        <v/>
      </c>
      <c r="D173" s="9" t="str">
        <f>[1]!splitstr($A173," - ",COLUMNS($D:D)-1)</f>
        <v/>
      </c>
      <c r="E173" s="9" t="str">
        <f>[1]!splitstr($A173," - ",COLUMNS($D:E)-1)</f>
        <v/>
      </c>
      <c r="F173" s="8" t="str">
        <f>[1]!splitstr($A173," - ",COLUMNS($D:F)-1)</f>
        <v/>
      </c>
      <c r="G173" s="19" t="str">
        <f t="shared" si="7"/>
        <v/>
      </c>
    </row>
    <row r="174" spans="1:7" s="2" customFormat="1" ht="12" customHeight="1" x14ac:dyDescent="0.4">
      <c r="A174" s="20"/>
      <c r="B174" s="7" t="s">
        <v>9</v>
      </c>
      <c r="C174" s="9" t="str">
        <f t="shared" ca="1" si="8"/>
        <v/>
      </c>
      <c r="D174" s="9" t="str">
        <f>[1]!splitstr($A174," - ",COLUMNS($D:D)-1)</f>
        <v/>
      </c>
      <c r="E174" s="9" t="str">
        <f>[1]!splitstr($A174," - ",COLUMNS($D:E)-1)</f>
        <v/>
      </c>
      <c r="F174" s="8" t="str">
        <f>[1]!splitstr($A174," - ",COLUMNS($D:F)-1)</f>
        <v/>
      </c>
      <c r="G174" s="19" t="str">
        <f t="shared" si="7"/>
        <v/>
      </c>
    </row>
    <row r="175" spans="1:7" s="2" customFormat="1" ht="12" customHeight="1" x14ac:dyDescent="0.4">
      <c r="A175" s="20"/>
      <c r="B175" s="7" t="s">
        <v>9</v>
      </c>
      <c r="C175" s="9" t="str">
        <f t="shared" ca="1" si="8"/>
        <v/>
      </c>
      <c r="D175" s="9" t="str">
        <f>[1]!splitstr($A175," - ",COLUMNS($D:D)-1)</f>
        <v/>
      </c>
      <c r="E175" s="9" t="str">
        <f>[1]!splitstr($A175," - ",COLUMNS($D:E)-1)</f>
        <v/>
      </c>
      <c r="F175" s="8" t="str">
        <f>[1]!splitstr($A175," - ",COLUMNS($D:F)-1)</f>
        <v/>
      </c>
      <c r="G175" s="19" t="str">
        <f t="shared" si="7"/>
        <v/>
      </c>
    </row>
    <row r="176" spans="1:7" s="2" customFormat="1" ht="12" customHeight="1" x14ac:dyDescent="0.4">
      <c r="A176" s="20"/>
      <c r="B176" s="7" t="s">
        <v>9</v>
      </c>
      <c r="C176" s="9" t="str">
        <f t="shared" ca="1" si="8"/>
        <v/>
      </c>
      <c r="D176" s="9" t="str">
        <f>[1]!splitstr($A176," - ",COLUMNS($D:D)-1)</f>
        <v/>
      </c>
      <c r="E176" s="9" t="str">
        <f>[1]!splitstr($A176," - ",COLUMNS($D:E)-1)</f>
        <v/>
      </c>
      <c r="F176" s="8" t="str">
        <f>[1]!splitstr($A176," - ",COLUMNS($D:F)-1)</f>
        <v/>
      </c>
      <c r="G176" s="19" t="str">
        <f t="shared" si="7"/>
        <v/>
      </c>
    </row>
    <row r="177" spans="1:7" s="2" customFormat="1" ht="12" customHeight="1" x14ac:dyDescent="0.4">
      <c r="A177" s="20"/>
      <c r="B177" s="7" t="s">
        <v>9</v>
      </c>
      <c r="C177" s="9" t="str">
        <f t="shared" ca="1" si="8"/>
        <v/>
      </c>
      <c r="D177" s="9" t="str">
        <f>[1]!splitstr($A177," - ",COLUMNS($D:D)-1)</f>
        <v/>
      </c>
      <c r="E177" s="9" t="str">
        <f>[1]!splitstr($A177," - ",COLUMNS($D:E)-1)</f>
        <v/>
      </c>
      <c r="F177" s="8" t="str">
        <f>[1]!splitstr($A177," - ",COLUMNS($D:F)-1)</f>
        <v/>
      </c>
      <c r="G177" s="19" t="str">
        <f t="shared" si="7"/>
        <v/>
      </c>
    </row>
    <row r="178" spans="1:7" s="2" customFormat="1" ht="12" customHeight="1" x14ac:dyDescent="0.4">
      <c r="A178" s="20"/>
      <c r="B178" s="7" t="s">
        <v>9</v>
      </c>
      <c r="C178" s="9" t="str">
        <f t="shared" ca="1" si="8"/>
        <v/>
      </c>
      <c r="D178" s="9" t="str">
        <f>[1]!splitstr($A178," - ",COLUMNS($D:D)-1)</f>
        <v/>
      </c>
      <c r="E178" s="9" t="str">
        <f>[1]!splitstr($A178," - ",COLUMNS($D:E)-1)</f>
        <v/>
      </c>
      <c r="F178" s="8" t="str">
        <f>[1]!splitstr($A178," - ",COLUMNS($D:F)-1)</f>
        <v/>
      </c>
      <c r="G178" s="19" t="str">
        <f t="shared" si="7"/>
        <v/>
      </c>
    </row>
    <row r="179" spans="1:7" s="2" customFormat="1" ht="12" customHeight="1" x14ac:dyDescent="0.4">
      <c r="A179" s="20"/>
      <c r="B179" s="7" t="s">
        <v>9</v>
      </c>
      <c r="C179" s="9" t="str">
        <f t="shared" ca="1" si="8"/>
        <v/>
      </c>
      <c r="D179" s="9" t="str">
        <f>[1]!splitstr($A179," - ",COLUMNS($D:D)-1)</f>
        <v/>
      </c>
      <c r="E179" s="9" t="str">
        <f>[1]!splitstr($A179," - ",COLUMNS($D:E)-1)</f>
        <v/>
      </c>
      <c r="F179" s="8" t="str">
        <f>[1]!splitstr($A179," - ",COLUMNS($D:F)-1)</f>
        <v/>
      </c>
      <c r="G179" s="19" t="str">
        <f t="shared" si="7"/>
        <v/>
      </c>
    </row>
    <row r="180" spans="1:7" s="2" customFormat="1" ht="12" customHeight="1" x14ac:dyDescent="0.4">
      <c r="A180" s="20"/>
      <c r="B180" s="7" t="s">
        <v>9</v>
      </c>
      <c r="C180" s="9" t="str">
        <f t="shared" ca="1" si="8"/>
        <v/>
      </c>
      <c r="D180" s="9" t="str">
        <f>[1]!splitstr($A180," - ",COLUMNS($D:D)-1)</f>
        <v/>
      </c>
      <c r="E180" s="9" t="str">
        <f>[1]!splitstr($A180," - ",COLUMNS($D:E)-1)</f>
        <v/>
      </c>
      <c r="F180" s="8" t="str">
        <f>[1]!splitstr($A180," - ",COLUMNS($D:F)-1)</f>
        <v/>
      </c>
      <c r="G180" s="19" t="str">
        <f t="shared" si="7"/>
        <v/>
      </c>
    </row>
    <row r="181" spans="1:7" s="2" customFormat="1" ht="12" customHeight="1" x14ac:dyDescent="0.4">
      <c r="A181" s="20"/>
      <c r="B181" s="7" t="s">
        <v>9</v>
      </c>
      <c r="C181" s="9" t="str">
        <f t="shared" ca="1" si="8"/>
        <v/>
      </c>
      <c r="D181" s="9" t="str">
        <f>[1]!splitstr($A181," - ",COLUMNS($D:D)-1)</f>
        <v/>
      </c>
      <c r="E181" s="9" t="str">
        <f>[1]!splitstr($A181," - ",COLUMNS($D:E)-1)</f>
        <v/>
      </c>
      <c r="F181" s="8" t="str">
        <f>[1]!splitstr($A181," - ",COLUMNS($D:F)-1)</f>
        <v/>
      </c>
      <c r="G181" s="19" t="str">
        <f t="shared" si="7"/>
        <v/>
      </c>
    </row>
    <row r="182" spans="1:7" s="2" customFormat="1" ht="12" customHeight="1" x14ac:dyDescent="0.4">
      <c r="A182" s="20"/>
      <c r="B182" s="7" t="s">
        <v>9</v>
      </c>
      <c r="C182" s="9" t="str">
        <f t="shared" ca="1" si="8"/>
        <v/>
      </c>
      <c r="D182" s="9" t="str">
        <f>[1]!splitstr($A182," - ",COLUMNS($D:D)-1)</f>
        <v/>
      </c>
      <c r="E182" s="9" t="str">
        <f>[1]!splitstr($A182," - ",COLUMNS($D:E)-1)</f>
        <v/>
      </c>
      <c r="F182" s="8" t="str">
        <f>[1]!splitstr($A182," - ",COLUMNS($D:F)-1)</f>
        <v/>
      </c>
      <c r="G182" s="19" t="str">
        <f t="shared" si="7"/>
        <v/>
      </c>
    </row>
    <row r="183" spans="1:7" s="2" customFormat="1" ht="12" customHeight="1" x14ac:dyDescent="0.4">
      <c r="A183" s="20"/>
      <c r="B183" s="7" t="s">
        <v>9</v>
      </c>
      <c r="C183" s="9" t="str">
        <f t="shared" ca="1" si="8"/>
        <v/>
      </c>
      <c r="D183" s="9" t="str">
        <f>[1]!splitstr($A183," - ",COLUMNS($D:D)-1)</f>
        <v/>
      </c>
      <c r="E183" s="9" t="str">
        <f>[1]!splitstr($A183," - ",COLUMNS($D:E)-1)</f>
        <v/>
      </c>
      <c r="F183" s="8" t="str">
        <f>[1]!splitstr($A183," - ",COLUMNS($D:F)-1)</f>
        <v/>
      </c>
      <c r="G183" s="19" t="str">
        <f t="shared" si="7"/>
        <v/>
      </c>
    </row>
    <row r="184" spans="1:7" s="2" customFormat="1" ht="12" customHeight="1" x14ac:dyDescent="0.4">
      <c r="A184" s="20"/>
      <c r="B184" s="7" t="s">
        <v>9</v>
      </c>
      <c r="C184" s="9" t="str">
        <f t="shared" ca="1" si="8"/>
        <v/>
      </c>
      <c r="D184" s="9" t="str">
        <f>[1]!splitstr($A184," - ",COLUMNS($D:D)-1)</f>
        <v/>
      </c>
      <c r="E184" s="9" t="str">
        <f>[1]!splitstr($A184," - ",COLUMNS($D:E)-1)</f>
        <v/>
      </c>
      <c r="F184" s="8" t="str">
        <f>[1]!splitstr($A184," - ",COLUMNS($D:F)-1)</f>
        <v/>
      </c>
      <c r="G184" s="19" t="str">
        <f t="shared" si="7"/>
        <v/>
      </c>
    </row>
    <row r="185" spans="1:7" s="2" customFormat="1" ht="12" customHeight="1" x14ac:dyDescent="0.4">
      <c r="A185" s="20"/>
      <c r="B185" s="7" t="s">
        <v>9</v>
      </c>
      <c r="C185" s="9" t="str">
        <f t="shared" ca="1" si="8"/>
        <v/>
      </c>
      <c r="D185" s="9" t="str">
        <f>[1]!splitstr($A185," - ",COLUMNS($D:D)-1)</f>
        <v/>
      </c>
      <c r="E185" s="9" t="str">
        <f>[1]!splitstr($A185," - ",COLUMNS($D:E)-1)</f>
        <v/>
      </c>
      <c r="F185" s="8" t="str">
        <f>[1]!splitstr($A185," - ",COLUMNS($D:F)-1)</f>
        <v/>
      </c>
      <c r="G185" s="19" t="str">
        <f t="shared" si="7"/>
        <v/>
      </c>
    </row>
    <row r="186" spans="1:7" s="2" customFormat="1" ht="12" customHeight="1" x14ac:dyDescent="0.4">
      <c r="A186" s="20"/>
      <c r="B186" s="7" t="s">
        <v>9</v>
      </c>
      <c r="C186" s="9" t="str">
        <f t="shared" ca="1" si="8"/>
        <v/>
      </c>
      <c r="D186" s="9" t="str">
        <f>[1]!splitstr($A186," - ",COLUMNS($D:D)-1)</f>
        <v/>
      </c>
      <c r="E186" s="9" t="str">
        <f>[1]!splitstr($A186," - ",COLUMNS($D:E)-1)</f>
        <v/>
      </c>
      <c r="F186" s="8" t="str">
        <f>[1]!splitstr($A186," - ",COLUMNS($D:F)-1)</f>
        <v/>
      </c>
      <c r="G186" s="19" t="str">
        <f t="shared" si="7"/>
        <v/>
      </c>
    </row>
    <row r="187" spans="1:7" s="2" customFormat="1" ht="12" customHeight="1" x14ac:dyDescent="0.4">
      <c r="A187" s="20"/>
      <c r="B187" s="7" t="s">
        <v>9</v>
      </c>
      <c r="C187" s="9" t="str">
        <f t="shared" ca="1" si="8"/>
        <v/>
      </c>
      <c r="D187" s="9" t="str">
        <f>[1]!splitstr($A187," - ",COLUMNS($D:D)-1)</f>
        <v/>
      </c>
      <c r="E187" s="9" t="str">
        <f>[1]!splitstr($A187," - ",COLUMNS($D:E)-1)</f>
        <v/>
      </c>
      <c r="F187" s="8" t="str">
        <f>[1]!splitstr($A187," - ",COLUMNS($D:F)-1)</f>
        <v/>
      </c>
      <c r="G187" s="19" t="str">
        <f t="shared" si="7"/>
        <v/>
      </c>
    </row>
    <row r="188" spans="1:7" s="2" customFormat="1" ht="12" customHeight="1" x14ac:dyDescent="0.4">
      <c r="A188" s="20"/>
      <c r="B188" s="7" t="s">
        <v>9</v>
      </c>
      <c r="C188" s="9" t="str">
        <f t="shared" ca="1" si="8"/>
        <v/>
      </c>
      <c r="D188" s="9" t="str">
        <f>[1]!splitstr($A188," - ",COLUMNS($D:D)-1)</f>
        <v/>
      </c>
      <c r="E188" s="9" t="str">
        <f>[1]!splitstr($A188," - ",COLUMNS($D:E)-1)</f>
        <v/>
      </c>
      <c r="F188" s="8" t="str">
        <f>[1]!splitstr($A188," - ",COLUMNS($D:F)-1)</f>
        <v/>
      </c>
      <c r="G188" s="19" t="str">
        <f t="shared" si="7"/>
        <v/>
      </c>
    </row>
    <row r="189" spans="1:7" s="2" customFormat="1" ht="12" customHeight="1" x14ac:dyDescent="0.4">
      <c r="A189" s="20"/>
      <c r="B189" s="7" t="s">
        <v>9</v>
      </c>
      <c r="C189" s="9" t="str">
        <f t="shared" ca="1" si="8"/>
        <v/>
      </c>
      <c r="D189" s="9" t="str">
        <f>[1]!splitstr($A189," - ",COLUMNS($D:D)-1)</f>
        <v/>
      </c>
      <c r="E189" s="9" t="str">
        <f>[1]!splitstr($A189," - ",COLUMNS($D:E)-1)</f>
        <v/>
      </c>
      <c r="F189" s="8" t="str">
        <f>[1]!splitstr($A189," - ",COLUMNS($D:F)-1)</f>
        <v/>
      </c>
      <c r="G189" s="19" t="str">
        <f t="shared" si="7"/>
        <v/>
      </c>
    </row>
    <row r="190" spans="1:7" s="2" customFormat="1" ht="12" customHeight="1" x14ac:dyDescent="0.4">
      <c r="A190" s="20"/>
      <c r="B190" s="7" t="s">
        <v>9</v>
      </c>
      <c r="C190" s="9" t="str">
        <f t="shared" ca="1" si="8"/>
        <v/>
      </c>
      <c r="D190" s="9" t="str">
        <f>[1]!splitstr($A190," - ",COLUMNS($D:D)-1)</f>
        <v/>
      </c>
      <c r="E190" s="9" t="str">
        <f>[1]!splitstr($A190," - ",COLUMNS($D:E)-1)</f>
        <v/>
      </c>
      <c r="F190" s="8" t="str">
        <f>[1]!splitstr($A190," - ",COLUMNS($D:F)-1)</f>
        <v/>
      </c>
      <c r="G190" s="19" t="str">
        <f t="shared" si="7"/>
        <v/>
      </c>
    </row>
    <row r="191" spans="1:7" s="2" customFormat="1" ht="12" customHeight="1" x14ac:dyDescent="0.4">
      <c r="A191" s="20"/>
      <c r="B191" s="7" t="s">
        <v>9</v>
      </c>
      <c r="C191" s="9" t="str">
        <f t="shared" ca="1" si="8"/>
        <v/>
      </c>
      <c r="D191" s="9" t="str">
        <f>[1]!splitstr($A191," - ",COLUMNS($D:D)-1)</f>
        <v/>
      </c>
      <c r="E191" s="9" t="str">
        <f>[1]!splitstr($A191," - ",COLUMNS($D:E)-1)</f>
        <v/>
      </c>
      <c r="F191" s="8" t="str">
        <f>[1]!splitstr($A191," - ",COLUMNS($D:F)-1)</f>
        <v/>
      </c>
      <c r="G191" s="19" t="str">
        <f t="shared" si="7"/>
        <v/>
      </c>
    </row>
    <row r="192" spans="1:7" s="2" customFormat="1" ht="12" customHeight="1" x14ac:dyDescent="0.4">
      <c r="A192" s="20"/>
      <c r="B192" s="7" t="s">
        <v>9</v>
      </c>
      <c r="C192" s="9" t="str">
        <f t="shared" ca="1" si="8"/>
        <v/>
      </c>
      <c r="D192" s="9" t="str">
        <f>[1]!splitstr($A192," - ",COLUMNS($D:D)-1)</f>
        <v/>
      </c>
      <c r="E192" s="9" t="str">
        <f>[1]!splitstr($A192," - ",COLUMNS($D:E)-1)</f>
        <v/>
      </c>
      <c r="F192" s="8" t="str">
        <f>[1]!splitstr($A192," - ",COLUMNS($D:F)-1)</f>
        <v/>
      </c>
      <c r="G192" s="19" t="str">
        <f t="shared" si="7"/>
        <v/>
      </c>
    </row>
    <row r="193" spans="1:7" s="2" customFormat="1" ht="12" customHeight="1" x14ac:dyDescent="0.4">
      <c r="A193" s="20"/>
      <c r="B193" s="7" t="s">
        <v>9</v>
      </c>
      <c r="C193" s="9" t="str">
        <f t="shared" ca="1" si="8"/>
        <v/>
      </c>
      <c r="D193" s="9" t="str">
        <f>[1]!splitstr($A193," - ",COLUMNS($D:D)-1)</f>
        <v/>
      </c>
      <c r="E193" s="9" t="str">
        <f>[1]!splitstr($A193," - ",COLUMNS($D:E)-1)</f>
        <v/>
      </c>
      <c r="F193" s="8" t="str">
        <f>[1]!splitstr($A193," - ",COLUMNS($D:F)-1)</f>
        <v/>
      </c>
      <c r="G193" s="19" t="str">
        <f t="shared" si="7"/>
        <v/>
      </c>
    </row>
    <row r="194" spans="1:7" s="2" customFormat="1" ht="12" customHeight="1" x14ac:dyDescent="0.4">
      <c r="A194" s="20"/>
      <c r="B194" s="7" t="s">
        <v>9</v>
      </c>
      <c r="C194" s="9" t="str">
        <f t="shared" ref="C194:C199" ca="1" si="9">IF(
    OR(
        $A194="",
        OFFSET($A194,-1,0)=""
    ),
    "",
    IF(
        OFFSET($A194,-1,0)=$A$1,
        1,
        OFFSET($C194,-1,0)+1
    )
)</f>
        <v/>
      </c>
      <c r="D194" s="9" t="str">
        <f>[1]!splitstr($A194," - ",COLUMNS($D:D)-1)</f>
        <v/>
      </c>
      <c r="E194" s="9" t="str">
        <f>[1]!splitstr($A194," - ",COLUMNS($D:E)-1)</f>
        <v/>
      </c>
      <c r="F194" s="8" t="str">
        <f>[1]!splitstr($A194," - ",COLUMNS($D:F)-1)</f>
        <v/>
      </c>
      <c r="G194" s="19" t="str">
        <f t="shared" si="7"/>
        <v/>
      </c>
    </row>
    <row r="195" spans="1:7" s="2" customFormat="1" ht="12" customHeight="1" x14ac:dyDescent="0.4">
      <c r="A195" s="20"/>
      <c r="B195" s="7" t="s">
        <v>9</v>
      </c>
      <c r="C195" s="9" t="str">
        <f t="shared" ca="1" si="9"/>
        <v/>
      </c>
      <c r="D195" s="9" t="str">
        <f>[1]!splitstr($A195," - ",COLUMNS($D:D)-1)</f>
        <v/>
      </c>
      <c r="E195" s="9" t="str">
        <f>[1]!splitstr($A195," - ",COLUMNS($D:E)-1)</f>
        <v/>
      </c>
      <c r="F195" s="8" t="str">
        <f>[1]!splitstr($A195," - ",COLUMNS($D:F)-1)</f>
        <v/>
      </c>
      <c r="G195" s="19" t="str">
        <f>IF(F195="","",TIMEVALUE(F195))</f>
        <v/>
      </c>
    </row>
    <row r="196" spans="1:7" s="2" customFormat="1" ht="12" customHeight="1" x14ac:dyDescent="0.4">
      <c r="A196" s="20"/>
      <c r="B196" s="7" t="s">
        <v>9</v>
      </c>
      <c r="C196" s="9" t="str">
        <f t="shared" ca="1" si="9"/>
        <v/>
      </c>
      <c r="D196" s="9" t="str">
        <f>[1]!splitstr($A196," - ",COLUMNS($D:D)-1)</f>
        <v/>
      </c>
      <c r="E196" s="9" t="str">
        <f>[1]!splitstr($A196," - ",COLUMNS($D:E)-1)</f>
        <v/>
      </c>
      <c r="F196" s="8" t="str">
        <f>[1]!splitstr($A196," - ",COLUMNS($D:F)-1)</f>
        <v/>
      </c>
      <c r="G196" s="19" t="str">
        <f>IF(F196="","",TIMEVALUE(F196))</f>
        <v/>
      </c>
    </row>
    <row r="197" spans="1:7" s="2" customFormat="1" ht="12" customHeight="1" x14ac:dyDescent="0.4">
      <c r="A197" s="20"/>
      <c r="B197" s="7" t="s">
        <v>9</v>
      </c>
      <c r="C197" s="9" t="str">
        <f t="shared" ca="1" si="9"/>
        <v/>
      </c>
      <c r="D197" s="9" t="str">
        <f>[1]!splitstr($A197," - ",COLUMNS($D:D)-1)</f>
        <v/>
      </c>
      <c r="E197" s="9" t="str">
        <f>[1]!splitstr($A197," - ",COLUMNS($D:E)-1)</f>
        <v/>
      </c>
      <c r="F197" s="8" t="str">
        <f>[1]!splitstr($A197," - ",COLUMNS($D:F)-1)</f>
        <v/>
      </c>
      <c r="G197" s="19" t="str">
        <f>IF(F197="","",TIMEVALUE(F197))</f>
        <v/>
      </c>
    </row>
    <row r="198" spans="1:7" s="2" customFormat="1" ht="12" customHeight="1" x14ac:dyDescent="0.4">
      <c r="A198" s="20"/>
      <c r="B198" s="7" t="s">
        <v>9</v>
      </c>
      <c r="C198" s="9" t="str">
        <f t="shared" ca="1" si="9"/>
        <v/>
      </c>
      <c r="D198" s="9" t="str">
        <f>[1]!splitstr($A198," - ",COLUMNS($D:D)-1)</f>
        <v/>
      </c>
      <c r="E198" s="9" t="str">
        <f>[1]!splitstr($A198," - ",COLUMNS($D:E)-1)</f>
        <v/>
      </c>
      <c r="F198" s="8" t="str">
        <f>[1]!splitstr($A198," - ",COLUMNS($D:F)-1)</f>
        <v/>
      </c>
      <c r="G198" s="19" t="str">
        <f>IF(F198="","",TIMEVALUE(F198))</f>
        <v/>
      </c>
    </row>
    <row r="199" spans="1:7" s="2" customFormat="1" ht="12" customHeight="1" x14ac:dyDescent="0.4">
      <c r="A199" s="20"/>
      <c r="B199" s="7" t="s">
        <v>9</v>
      </c>
      <c r="C199" s="9" t="str">
        <f t="shared" ca="1" si="9"/>
        <v/>
      </c>
      <c r="D199" s="9" t="str">
        <f>[1]!splitstr($A199," - ",COLUMNS($D:D)-1)</f>
        <v/>
      </c>
      <c r="E199" s="9" t="str">
        <f>[1]!splitstr($A199," - ",COLUMNS($D:E)-1)</f>
        <v/>
      </c>
      <c r="F199" s="8" t="str">
        <f>[1]!splitstr($A199," - ",COLUMNS($D:F)-1)</f>
        <v/>
      </c>
      <c r="G199" s="19" t="str">
        <f>IF(F199="","",TIMEVALUE(F199))</f>
        <v/>
      </c>
    </row>
  </sheetData>
  <autoFilter ref="A1"/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99"/>
  <sheetViews>
    <sheetView showGridLines="0" workbookViewId="0">
      <pane xSplit="1" ySplit="1" topLeftCell="B2" activePane="bottomRight" state="frozen"/>
      <selection activeCell="A7" sqref="A7"/>
      <selection pane="topRight" activeCell="A7" sqref="A7"/>
      <selection pane="bottomLeft" activeCell="A7" sqref="A7"/>
      <selection pane="bottomRight" activeCell="A7" sqref="A7"/>
    </sheetView>
  </sheetViews>
  <sheetFormatPr defaultRowHeight="12" customHeight="1" x14ac:dyDescent="0.4"/>
  <cols>
    <col min="1" max="1" width="19.5546875" style="3" customWidth="1"/>
    <col min="2" max="2" width="0.21875" style="3" customWidth="1"/>
    <col min="3" max="3" width="3.77734375" style="3" customWidth="1"/>
    <col min="4" max="4" width="39.6640625" style="3" customWidth="1"/>
    <col min="5" max="5" width="29.77734375" style="3" customWidth="1"/>
    <col min="6" max="6" width="25.6640625" style="3" customWidth="1"/>
    <col min="7" max="8" width="19.109375" style="3" customWidth="1"/>
    <col min="9" max="9" width="7.21875" style="5" bestFit="1" customWidth="1"/>
    <col min="10" max="10" width="5.6640625" style="5" customWidth="1"/>
    <col min="11" max="11" width="13.6640625" style="5" bestFit="1" customWidth="1"/>
    <col min="12" max="16384" width="8.88671875" style="3"/>
  </cols>
  <sheetData>
    <row r="1" spans="1:11" s="1" customFormat="1" ht="28.2" customHeight="1" x14ac:dyDescent="0.4">
      <c r="A1" s="29" t="s">
        <v>22</v>
      </c>
      <c r="B1" s="7" t="s">
        <v>9</v>
      </c>
      <c r="C1" s="29" t="s">
        <v>2</v>
      </c>
      <c r="D1" s="29" t="s">
        <v>61</v>
      </c>
      <c r="E1" s="29" t="s">
        <v>1</v>
      </c>
      <c r="F1" s="29" t="s">
        <v>0</v>
      </c>
      <c r="G1" s="29" t="s">
        <v>62</v>
      </c>
      <c r="H1" s="29" t="s">
        <v>4</v>
      </c>
      <c r="I1" s="29" t="s">
        <v>63</v>
      </c>
      <c r="J1" s="29" t="s">
        <v>64</v>
      </c>
      <c r="K1" s="29" t="s">
        <v>3</v>
      </c>
    </row>
    <row r="2" spans="1:11" s="2" customFormat="1" ht="12" customHeight="1" x14ac:dyDescent="0.4">
      <c r="A2" s="20" t="s">
        <v>53</v>
      </c>
      <c r="B2" s="7" t="s">
        <v>9</v>
      </c>
      <c r="C2" s="9">
        <f t="shared" ref="C2:C65" ca="1" si="0">IF(
    OR(
        $A2="",
        OFFSET($A2,-1,0)=""
    ),
    "",
    IF(
        OFFSET($A2,-1,0)=$A$1,
        1,
        OFFSET($C2,-1,0)+1
    )
)</f>
        <v>1</v>
      </c>
      <c r="D2" s="9" t="str">
        <f>[1]!splitstr($A2,CHAR(9),COLUMNS($D:D)-1)</f>
        <v>01 Love Me Right (Minor Riddim)</v>
      </c>
      <c r="E2" s="9" t="str">
        <f>[1]!splitstr($A2,CHAR(9),COLUMNS($D:E)-1)</f>
        <v>Love Me Right (Minor Riddim)</v>
      </c>
      <c r="F2" s="9" t="str">
        <f>[1]!splitstr($A2,CHAR(9),COLUMNS($D:F)-1)</f>
        <v>Selena Serrano &amp; Pressure</v>
      </c>
      <c r="G2" s="9" t="str">
        <f>[1]!splitstr($A2,CHAR(9),COLUMNS($D:G)-1)</f>
        <v>Tatsuya Endo</v>
      </c>
      <c r="H2" s="9" t="str">
        <f>[1]!splitstr($A2,CHAR(9),COLUMNS($D:H)-1)</f>
        <v>Minor Riddim</v>
      </c>
      <c r="I2" s="26" t="str">
        <f>[1]!splitstr($A2,CHAR(9),COLUMNS($D:I)-1)</f>
        <v>1</v>
      </c>
      <c r="J2" s="26" t="str">
        <f>[1]!splitstr($A2,CHAR(9),COLUMNS($D:J)-1)</f>
        <v>2010</v>
      </c>
      <c r="K2" s="26" t="str">
        <f>[1]!splitstr($A2,CHAR(9),COLUMNS($D:K)-1)</f>
        <v>Reggae@Riddim</v>
      </c>
    </row>
    <row r="3" spans="1:11" s="2" customFormat="1" ht="12" customHeight="1" x14ac:dyDescent="0.4">
      <c r="A3" s="20" t="s">
        <v>54</v>
      </c>
      <c r="B3" s="7" t="s">
        <v>9</v>
      </c>
      <c r="C3" s="9">
        <f t="shared" ca="1" si="0"/>
        <v>2</v>
      </c>
      <c r="D3" s="9" t="str">
        <f>[1]!splitstr($A3,CHAR(9),COLUMNS($D:D)-1)</f>
        <v>02 Send Me an Angel (Minor Riddim)</v>
      </c>
      <c r="E3" s="9" t="str">
        <f>[1]!splitstr($A3,CHAR(9),COLUMNS($D:E)-1)</f>
        <v>Send Me an Angel (Minor Riddim)</v>
      </c>
      <c r="F3" s="9" t="str">
        <f>[1]!splitstr($A3,CHAR(9),COLUMNS($D:F)-1)</f>
        <v>Fiji</v>
      </c>
      <c r="G3" s="9" t="str">
        <f>[1]!splitstr($A3,CHAR(9),COLUMNS($D:G)-1)</f>
        <v>Tatsuya Endo</v>
      </c>
      <c r="H3" s="9" t="str">
        <f>[1]!splitstr($A3,CHAR(9),COLUMNS($D:H)-1)</f>
        <v>Minor Riddim</v>
      </c>
      <c r="I3" s="26" t="str">
        <f>[1]!splitstr($A3,CHAR(9),COLUMNS($D:I)-1)</f>
        <v>2</v>
      </c>
      <c r="J3" s="26" t="str">
        <f>[1]!splitstr($A3,CHAR(9),COLUMNS($D:J)-1)</f>
        <v>2010</v>
      </c>
      <c r="K3" s="26" t="str">
        <f>[1]!splitstr($A3,CHAR(9),COLUMNS($D:K)-1)</f>
        <v>Reggae@Riddim</v>
      </c>
    </row>
    <row r="4" spans="1:11" s="2" customFormat="1" ht="12" customHeight="1" x14ac:dyDescent="0.4">
      <c r="A4" s="20" t="s">
        <v>55</v>
      </c>
      <c r="B4" s="7" t="s">
        <v>9</v>
      </c>
      <c r="C4" s="9">
        <f t="shared" ca="1" si="0"/>
        <v>3</v>
      </c>
      <c r="D4" s="9" t="str">
        <f>[1]!splitstr($A4,CHAR(9),COLUMNS($D:D)-1)</f>
        <v>03 A Like That (Minor Riddim)</v>
      </c>
      <c r="E4" s="9" t="str">
        <f>[1]!splitstr($A4,CHAR(9),COLUMNS($D:E)-1)</f>
        <v>A Like That (Minor Riddim)</v>
      </c>
      <c r="F4" s="9" t="str">
        <f>[1]!splitstr($A4,CHAR(9),COLUMNS($D:F)-1)</f>
        <v>Vybz Kartel</v>
      </c>
      <c r="G4" s="9" t="str">
        <f>[1]!splitstr($A4,CHAR(9),COLUMNS($D:G)-1)</f>
        <v>Tatsuya Endo</v>
      </c>
      <c r="H4" s="9" t="str">
        <f>[1]!splitstr($A4,CHAR(9),COLUMNS($D:H)-1)</f>
        <v>Minor Riddim</v>
      </c>
      <c r="I4" s="26" t="str">
        <f>[1]!splitstr($A4,CHAR(9),COLUMNS($D:I)-1)</f>
        <v>3</v>
      </c>
      <c r="J4" s="26" t="str">
        <f>[1]!splitstr($A4,CHAR(9),COLUMNS($D:J)-1)</f>
        <v>2010</v>
      </c>
      <c r="K4" s="26" t="str">
        <f>[1]!splitstr($A4,CHAR(9),COLUMNS($D:K)-1)</f>
        <v>Reggae@Riddim</v>
      </c>
    </row>
    <row r="5" spans="1:11" s="2" customFormat="1" ht="12" customHeight="1" x14ac:dyDescent="0.4">
      <c r="A5" s="20" t="s">
        <v>56</v>
      </c>
      <c r="B5" s="7" t="s">
        <v>9</v>
      </c>
      <c r="C5" s="9">
        <f t="shared" ca="1" si="0"/>
        <v>4</v>
      </c>
      <c r="D5" s="9" t="str">
        <f>[1]!splitstr($A5,CHAR(9),COLUMNS($D:D)-1)</f>
        <v>04 Name &amp; Number (Minor Riddim)</v>
      </c>
      <c r="E5" s="9" t="str">
        <f>[1]!splitstr($A5,CHAR(9),COLUMNS($D:E)-1)</f>
        <v>Name &amp; Number (Minor Riddim)</v>
      </c>
      <c r="F5" s="9" t="str">
        <f>[1]!splitstr($A5,CHAR(9),COLUMNS($D:F)-1)</f>
        <v>LP</v>
      </c>
      <c r="G5" s="9" t="str">
        <f>[1]!splitstr($A5,CHAR(9),COLUMNS($D:G)-1)</f>
        <v>Tatsuya Endo</v>
      </c>
      <c r="H5" s="9" t="str">
        <f>[1]!splitstr($A5,CHAR(9),COLUMNS($D:H)-1)</f>
        <v>Minor Riddim</v>
      </c>
      <c r="I5" s="26" t="str">
        <f>[1]!splitstr($A5,CHAR(9),COLUMNS($D:I)-1)</f>
        <v>4</v>
      </c>
      <c r="J5" s="26" t="str">
        <f>[1]!splitstr($A5,CHAR(9),COLUMNS($D:J)-1)</f>
        <v>2010</v>
      </c>
      <c r="K5" s="26" t="str">
        <f>[1]!splitstr($A5,CHAR(9),COLUMNS($D:K)-1)</f>
        <v>Reggae@Riddim</v>
      </c>
    </row>
    <row r="6" spans="1:11" s="2" customFormat="1" ht="12" customHeight="1" x14ac:dyDescent="0.4">
      <c r="A6" s="20" t="s">
        <v>57</v>
      </c>
      <c r="B6" s="7" t="s">
        <v>9</v>
      </c>
      <c r="C6" s="9">
        <f t="shared" ca="1" si="0"/>
        <v>5</v>
      </c>
      <c r="D6" s="9" t="str">
        <f>[1]!splitstr($A6,CHAR(9),COLUMNS($D:D)-1)</f>
        <v>05 Over Come Dem (Minor Riddim)</v>
      </c>
      <c r="E6" s="9" t="str">
        <f>[1]!splitstr($A6,CHAR(9),COLUMNS($D:E)-1)</f>
        <v>Over Come Dem (Minor Riddim)</v>
      </c>
      <c r="F6" s="9" t="str">
        <f>[1]!splitstr($A6,CHAR(9),COLUMNS($D:F)-1)</f>
        <v>Lutan Fyah</v>
      </c>
      <c r="G6" s="9" t="str">
        <f>[1]!splitstr($A6,CHAR(9),COLUMNS($D:G)-1)</f>
        <v>Tatsuya Endo</v>
      </c>
      <c r="H6" s="9" t="str">
        <f>[1]!splitstr($A6,CHAR(9),COLUMNS($D:H)-1)</f>
        <v>Minor Riddim</v>
      </c>
      <c r="I6" s="26" t="str">
        <f>[1]!splitstr($A6,CHAR(9),COLUMNS($D:I)-1)</f>
        <v>5</v>
      </c>
      <c r="J6" s="26" t="str">
        <f>[1]!splitstr($A6,CHAR(9),COLUMNS($D:J)-1)</f>
        <v>2010</v>
      </c>
      <c r="K6" s="26" t="str">
        <f>[1]!splitstr($A6,CHAR(9),COLUMNS($D:K)-1)</f>
        <v>Reggae@Riddim</v>
      </c>
    </row>
    <row r="7" spans="1:11" s="2" customFormat="1" ht="12" customHeight="1" x14ac:dyDescent="0.4">
      <c r="A7" s="20" t="s">
        <v>58</v>
      </c>
      <c r="B7" s="7" t="s">
        <v>9</v>
      </c>
      <c r="C7" s="9">
        <f t="shared" ca="1" si="0"/>
        <v>6</v>
      </c>
      <c r="D7" s="9" t="str">
        <f>[1]!splitstr($A7,CHAR(9),COLUMNS($D:D)-1)</f>
        <v>06 Roll (Minor Riddim)</v>
      </c>
      <c r="E7" s="9" t="str">
        <f>[1]!splitstr($A7,CHAR(9),COLUMNS($D:E)-1)</f>
        <v>Roll (Minor Riddim)</v>
      </c>
      <c r="F7" s="9" t="str">
        <f>[1]!splitstr($A7,CHAR(9),COLUMNS($D:F)-1)</f>
        <v>Protoje</v>
      </c>
      <c r="G7" s="9" t="str">
        <f>[1]!splitstr($A7,CHAR(9),COLUMNS($D:G)-1)</f>
        <v>Tatsuya Endo</v>
      </c>
      <c r="H7" s="9" t="str">
        <f>[1]!splitstr($A7,CHAR(9),COLUMNS($D:H)-1)</f>
        <v>Minor Riddim</v>
      </c>
      <c r="I7" s="26" t="str">
        <f>[1]!splitstr($A7,CHAR(9),COLUMNS($D:I)-1)</f>
        <v>6</v>
      </c>
      <c r="J7" s="26" t="str">
        <f>[1]!splitstr($A7,CHAR(9),COLUMNS($D:J)-1)</f>
        <v>2010</v>
      </c>
      <c r="K7" s="26" t="str">
        <f>[1]!splitstr($A7,CHAR(9),COLUMNS($D:K)-1)</f>
        <v>Reggae@Riddim</v>
      </c>
    </row>
    <row r="8" spans="1:11" s="2" customFormat="1" ht="12" customHeight="1" x14ac:dyDescent="0.4">
      <c r="A8" s="20" t="s">
        <v>59</v>
      </c>
      <c r="B8" s="7" t="s">
        <v>9</v>
      </c>
      <c r="C8" s="9">
        <f t="shared" ca="1" si="0"/>
        <v>7</v>
      </c>
      <c r="D8" s="9" t="str">
        <f>[1]!splitstr($A8,CHAR(9),COLUMNS($D:D)-1)</f>
        <v>07 Love Like This (Minor Riddim)</v>
      </c>
      <c r="E8" s="9" t="str">
        <f>[1]!splitstr($A8,CHAR(9),COLUMNS($D:E)-1)</f>
        <v>Love Like This (Minor Riddim)</v>
      </c>
      <c r="F8" s="9" t="str">
        <f>[1]!splitstr($A8,CHAR(9),COLUMNS($D:F)-1)</f>
        <v>Toi</v>
      </c>
      <c r="G8" s="9" t="str">
        <f>[1]!splitstr($A8,CHAR(9),COLUMNS($D:G)-1)</f>
        <v>Tatsuya Endo</v>
      </c>
      <c r="H8" s="9" t="str">
        <f>[1]!splitstr($A8,CHAR(9),COLUMNS($D:H)-1)</f>
        <v>Minor Riddim</v>
      </c>
      <c r="I8" s="26" t="str">
        <f>[1]!splitstr($A8,CHAR(9),COLUMNS($D:I)-1)</f>
        <v>7</v>
      </c>
      <c r="J8" s="26" t="str">
        <f>[1]!splitstr($A8,CHAR(9),COLUMNS($D:J)-1)</f>
        <v>2010</v>
      </c>
      <c r="K8" s="26" t="str">
        <f>[1]!splitstr($A8,CHAR(9),COLUMNS($D:K)-1)</f>
        <v>Reggae@Riddim</v>
      </c>
    </row>
    <row r="9" spans="1:11" s="2" customFormat="1" ht="12" customHeight="1" x14ac:dyDescent="0.4">
      <c r="A9" s="20" t="s">
        <v>60</v>
      </c>
      <c r="B9" s="7" t="s">
        <v>9</v>
      </c>
      <c r="C9" s="9">
        <f t="shared" ca="1" si="0"/>
        <v>8</v>
      </c>
      <c r="D9" s="9" t="str">
        <f>[1]!splitstr($A9,CHAR(9),COLUMNS($D:D)-1)</f>
        <v>08 Forbidden Love (Minor Riddim)</v>
      </c>
      <c r="E9" s="9" t="str">
        <f>[1]!splitstr($A9,CHAR(9),COLUMNS($D:E)-1)</f>
        <v>Forbidden Love (Minor Riddim)</v>
      </c>
      <c r="F9" s="9" t="str">
        <f>[1]!splitstr($A9,CHAR(9),COLUMNS($D:F)-1)</f>
        <v>Tami Chynn</v>
      </c>
      <c r="G9" s="9" t="str">
        <f>[1]!splitstr($A9,CHAR(9),COLUMNS($D:G)-1)</f>
        <v>Tatsuya Endo</v>
      </c>
      <c r="H9" s="9" t="str">
        <f>[1]!splitstr($A9,CHAR(9),COLUMNS($D:H)-1)</f>
        <v>Minor Riddim</v>
      </c>
      <c r="I9" s="26" t="str">
        <f>[1]!splitstr($A9,CHAR(9),COLUMNS($D:I)-1)</f>
        <v>8</v>
      </c>
      <c r="J9" s="26" t="str">
        <f>[1]!splitstr($A9,CHAR(9),COLUMNS($D:J)-1)</f>
        <v>2010</v>
      </c>
      <c r="K9" s="26" t="str">
        <f>[1]!splitstr($A9,CHAR(9),COLUMNS($D:K)-1)</f>
        <v>Reggae@Riddim</v>
      </c>
    </row>
    <row r="10" spans="1:11" s="2" customFormat="1" ht="12" customHeight="1" x14ac:dyDescent="0.4">
      <c r="A10" s="20"/>
      <c r="B10" s="7" t="s">
        <v>9</v>
      </c>
      <c r="C10" s="9" t="str">
        <f t="shared" ca="1" si="0"/>
        <v/>
      </c>
      <c r="D10" s="9" t="str">
        <f>[1]!splitstr($A10,CHAR(9),COLUMNS($D:D)-1)</f>
        <v/>
      </c>
      <c r="E10" s="9" t="str">
        <f>[1]!splitstr($A10,CHAR(9),COLUMNS($D:E)-1)</f>
        <v/>
      </c>
      <c r="F10" s="9" t="str">
        <f>[1]!splitstr($A10,CHAR(9),COLUMNS($D:F)-1)</f>
        <v/>
      </c>
      <c r="G10" s="9" t="str">
        <f>[1]!splitstr($A10,CHAR(9),COLUMNS($D:G)-1)</f>
        <v/>
      </c>
      <c r="H10" s="9" t="str">
        <f>[1]!splitstr($A10,CHAR(9),COLUMNS($D:H)-1)</f>
        <v/>
      </c>
      <c r="I10" s="26" t="str">
        <f>[1]!splitstr($A10,CHAR(9),COLUMNS($D:I)-1)</f>
        <v/>
      </c>
      <c r="J10" s="26" t="str">
        <f>[1]!splitstr($A10,CHAR(9),COLUMNS($D:J)-1)</f>
        <v/>
      </c>
      <c r="K10" s="26" t="str">
        <f>[1]!splitstr($A10,CHAR(9),COLUMNS($D:K)-1)</f>
        <v/>
      </c>
    </row>
    <row r="11" spans="1:11" s="2" customFormat="1" ht="12" customHeight="1" x14ac:dyDescent="0.4">
      <c r="A11" s="20"/>
      <c r="B11" s="7" t="s">
        <v>9</v>
      </c>
      <c r="C11" s="9" t="str">
        <f t="shared" ca="1" si="0"/>
        <v/>
      </c>
      <c r="D11" s="9" t="str">
        <f>[1]!splitstr($A11,CHAR(9),COLUMNS($D:D)-1)</f>
        <v/>
      </c>
      <c r="E11" s="9" t="str">
        <f>[1]!splitstr($A11,CHAR(9),COLUMNS($D:E)-1)</f>
        <v/>
      </c>
      <c r="F11" s="9" t="str">
        <f>[1]!splitstr($A11,CHAR(9),COLUMNS($D:F)-1)</f>
        <v/>
      </c>
      <c r="G11" s="9" t="str">
        <f>[1]!splitstr($A11,CHAR(9),COLUMNS($D:G)-1)</f>
        <v/>
      </c>
      <c r="H11" s="9" t="str">
        <f>[1]!splitstr($A11,CHAR(9),COLUMNS($D:H)-1)</f>
        <v/>
      </c>
      <c r="I11" s="26" t="str">
        <f>[1]!splitstr($A11,CHAR(9),COLUMNS($D:I)-1)</f>
        <v/>
      </c>
      <c r="J11" s="26" t="str">
        <f>[1]!splitstr($A11,CHAR(9),COLUMNS($D:J)-1)</f>
        <v/>
      </c>
      <c r="K11" s="26" t="str">
        <f>[1]!splitstr($A11,CHAR(9),COLUMNS($D:K)-1)</f>
        <v/>
      </c>
    </row>
    <row r="12" spans="1:11" s="2" customFormat="1" ht="12" customHeight="1" x14ac:dyDescent="0.4">
      <c r="A12" s="20"/>
      <c r="B12" s="7" t="s">
        <v>9</v>
      </c>
      <c r="C12" s="9" t="str">
        <f t="shared" ca="1" si="0"/>
        <v/>
      </c>
      <c r="D12" s="9" t="str">
        <f>[1]!splitstr($A12,CHAR(9),COLUMNS($D:D)-1)</f>
        <v/>
      </c>
      <c r="E12" s="9" t="str">
        <f>[1]!splitstr($A12,CHAR(9),COLUMNS($D:E)-1)</f>
        <v/>
      </c>
      <c r="F12" s="9" t="str">
        <f>[1]!splitstr($A12,CHAR(9),COLUMNS($D:F)-1)</f>
        <v/>
      </c>
      <c r="G12" s="9" t="str">
        <f>[1]!splitstr($A12,CHAR(9),COLUMNS($D:G)-1)</f>
        <v/>
      </c>
      <c r="H12" s="9" t="str">
        <f>[1]!splitstr($A12,CHAR(9),COLUMNS($D:H)-1)</f>
        <v/>
      </c>
      <c r="I12" s="26" t="str">
        <f>[1]!splitstr($A12,CHAR(9),COLUMNS($D:I)-1)</f>
        <v/>
      </c>
      <c r="J12" s="26" t="str">
        <f>[1]!splitstr($A12,CHAR(9),COLUMNS($D:J)-1)</f>
        <v/>
      </c>
      <c r="K12" s="26" t="str">
        <f>[1]!splitstr($A12,CHAR(9),COLUMNS($D:K)-1)</f>
        <v/>
      </c>
    </row>
    <row r="13" spans="1:11" s="2" customFormat="1" ht="12" customHeight="1" x14ac:dyDescent="0.4">
      <c r="A13" s="20"/>
      <c r="B13" s="7" t="s">
        <v>9</v>
      </c>
      <c r="C13" s="9" t="str">
        <f t="shared" ca="1" si="0"/>
        <v/>
      </c>
      <c r="D13" s="9" t="str">
        <f>[1]!splitstr($A13,CHAR(9),COLUMNS($D:D)-1)</f>
        <v/>
      </c>
      <c r="E13" s="9" t="str">
        <f>[1]!splitstr($A13,CHAR(9),COLUMNS($D:E)-1)</f>
        <v/>
      </c>
      <c r="F13" s="9" t="str">
        <f>[1]!splitstr($A13,CHAR(9),COLUMNS($D:F)-1)</f>
        <v/>
      </c>
      <c r="G13" s="9" t="str">
        <f>[1]!splitstr($A13,CHAR(9),COLUMNS($D:G)-1)</f>
        <v/>
      </c>
      <c r="H13" s="9" t="str">
        <f>[1]!splitstr($A13,CHAR(9),COLUMNS($D:H)-1)</f>
        <v/>
      </c>
      <c r="I13" s="26" t="str">
        <f>[1]!splitstr($A13,CHAR(9),COLUMNS($D:I)-1)</f>
        <v/>
      </c>
      <c r="J13" s="26" t="str">
        <f>[1]!splitstr($A13,CHAR(9),COLUMNS($D:J)-1)</f>
        <v/>
      </c>
      <c r="K13" s="26" t="str">
        <f>[1]!splitstr($A13,CHAR(9),COLUMNS($D:K)-1)</f>
        <v/>
      </c>
    </row>
    <row r="14" spans="1:11" s="2" customFormat="1" ht="12" customHeight="1" x14ac:dyDescent="0.4">
      <c r="A14" s="20"/>
      <c r="B14" s="7" t="s">
        <v>9</v>
      </c>
      <c r="C14" s="9" t="str">
        <f t="shared" ca="1" si="0"/>
        <v/>
      </c>
      <c r="D14" s="9" t="str">
        <f>[1]!splitstr($A14,CHAR(9),COLUMNS($D:D)-1)</f>
        <v/>
      </c>
      <c r="E14" s="9" t="str">
        <f>[1]!splitstr($A14,CHAR(9),COLUMNS($D:E)-1)</f>
        <v/>
      </c>
      <c r="F14" s="9" t="str">
        <f>[1]!splitstr($A14,CHAR(9),COLUMNS($D:F)-1)</f>
        <v/>
      </c>
      <c r="G14" s="9" t="str">
        <f>[1]!splitstr($A14,CHAR(9),COLUMNS($D:G)-1)</f>
        <v/>
      </c>
      <c r="H14" s="9" t="str">
        <f>[1]!splitstr($A14,CHAR(9),COLUMNS($D:H)-1)</f>
        <v/>
      </c>
      <c r="I14" s="26" t="str">
        <f>[1]!splitstr($A14,CHAR(9),COLUMNS($D:I)-1)</f>
        <v/>
      </c>
      <c r="J14" s="26" t="str">
        <f>[1]!splitstr($A14,CHAR(9),COLUMNS($D:J)-1)</f>
        <v/>
      </c>
      <c r="K14" s="26" t="str">
        <f>[1]!splitstr($A14,CHAR(9),COLUMNS($D:K)-1)</f>
        <v/>
      </c>
    </row>
    <row r="15" spans="1:11" s="2" customFormat="1" ht="12" customHeight="1" x14ac:dyDescent="0.4">
      <c r="A15" s="20"/>
      <c r="B15" s="7" t="s">
        <v>9</v>
      </c>
      <c r="C15" s="9" t="str">
        <f t="shared" ca="1" si="0"/>
        <v/>
      </c>
      <c r="D15" s="9" t="str">
        <f>[1]!splitstr($A15,CHAR(9),COLUMNS($D:D)-1)</f>
        <v/>
      </c>
      <c r="E15" s="9" t="str">
        <f>[1]!splitstr($A15,CHAR(9),COLUMNS($D:E)-1)</f>
        <v/>
      </c>
      <c r="F15" s="9" t="str">
        <f>[1]!splitstr($A15,CHAR(9),COLUMNS($D:F)-1)</f>
        <v/>
      </c>
      <c r="G15" s="9" t="str">
        <f>[1]!splitstr($A15,CHAR(9),COLUMNS($D:G)-1)</f>
        <v/>
      </c>
      <c r="H15" s="9" t="str">
        <f>[1]!splitstr($A15,CHAR(9),COLUMNS($D:H)-1)</f>
        <v/>
      </c>
      <c r="I15" s="26" t="str">
        <f>[1]!splitstr($A15,CHAR(9),COLUMNS($D:I)-1)</f>
        <v/>
      </c>
      <c r="J15" s="26" t="str">
        <f>[1]!splitstr($A15,CHAR(9),COLUMNS($D:J)-1)</f>
        <v/>
      </c>
      <c r="K15" s="26" t="str">
        <f>[1]!splitstr($A15,CHAR(9),COLUMNS($D:K)-1)</f>
        <v/>
      </c>
    </row>
    <row r="16" spans="1:11" s="2" customFormat="1" ht="12" customHeight="1" x14ac:dyDescent="0.4">
      <c r="A16" s="20"/>
      <c r="B16" s="7" t="s">
        <v>9</v>
      </c>
      <c r="C16" s="9" t="str">
        <f t="shared" ca="1" si="0"/>
        <v/>
      </c>
      <c r="D16" s="9" t="str">
        <f>[1]!splitstr($A16,CHAR(9),COLUMNS($D:D)-1)</f>
        <v/>
      </c>
      <c r="E16" s="9" t="str">
        <f>[1]!splitstr($A16,CHAR(9),COLUMNS($D:E)-1)</f>
        <v/>
      </c>
      <c r="F16" s="9" t="str">
        <f>[1]!splitstr($A16,CHAR(9),COLUMNS($D:F)-1)</f>
        <v/>
      </c>
      <c r="G16" s="9" t="str">
        <f>[1]!splitstr($A16,CHAR(9),COLUMNS($D:G)-1)</f>
        <v/>
      </c>
      <c r="H16" s="9" t="str">
        <f>[1]!splitstr($A16,CHAR(9),COLUMNS($D:H)-1)</f>
        <v/>
      </c>
      <c r="I16" s="26" t="str">
        <f>[1]!splitstr($A16,CHAR(9),COLUMNS($D:I)-1)</f>
        <v/>
      </c>
      <c r="J16" s="26" t="str">
        <f>[1]!splitstr($A16,CHAR(9),COLUMNS($D:J)-1)</f>
        <v/>
      </c>
      <c r="K16" s="26" t="str">
        <f>[1]!splitstr($A16,CHAR(9),COLUMNS($D:K)-1)</f>
        <v/>
      </c>
    </row>
    <row r="17" spans="1:11" s="2" customFormat="1" ht="12" customHeight="1" x14ac:dyDescent="0.4">
      <c r="A17" s="20"/>
      <c r="B17" s="7" t="s">
        <v>9</v>
      </c>
      <c r="C17" s="9" t="str">
        <f t="shared" ca="1" si="0"/>
        <v/>
      </c>
      <c r="D17" s="9" t="str">
        <f>[1]!splitstr($A17,CHAR(9),COLUMNS($D:D)-1)</f>
        <v/>
      </c>
      <c r="E17" s="9" t="str">
        <f>[1]!splitstr($A17,CHAR(9),COLUMNS($D:E)-1)</f>
        <v/>
      </c>
      <c r="F17" s="9" t="str">
        <f>[1]!splitstr($A17,CHAR(9),COLUMNS($D:F)-1)</f>
        <v/>
      </c>
      <c r="G17" s="9" t="str">
        <f>[1]!splitstr($A17,CHAR(9),COLUMNS($D:G)-1)</f>
        <v/>
      </c>
      <c r="H17" s="9" t="str">
        <f>[1]!splitstr($A17,CHAR(9),COLUMNS($D:H)-1)</f>
        <v/>
      </c>
      <c r="I17" s="26" t="str">
        <f>[1]!splitstr($A17,CHAR(9),COLUMNS($D:I)-1)</f>
        <v/>
      </c>
      <c r="J17" s="26" t="str">
        <f>[1]!splitstr($A17,CHAR(9),COLUMNS($D:J)-1)</f>
        <v/>
      </c>
      <c r="K17" s="26" t="str">
        <f>[1]!splitstr($A17,CHAR(9),COLUMNS($D:K)-1)</f>
        <v/>
      </c>
    </row>
    <row r="18" spans="1:11" s="2" customFormat="1" ht="12" customHeight="1" x14ac:dyDescent="0.4">
      <c r="A18" s="20"/>
      <c r="B18" s="7" t="s">
        <v>9</v>
      </c>
      <c r="C18" s="9" t="str">
        <f t="shared" ca="1" si="0"/>
        <v/>
      </c>
      <c r="D18" s="9" t="str">
        <f>[1]!splitstr($A18,CHAR(9),COLUMNS($D:D)-1)</f>
        <v/>
      </c>
      <c r="E18" s="9" t="str">
        <f>[1]!splitstr($A18,CHAR(9),COLUMNS($D:E)-1)</f>
        <v/>
      </c>
      <c r="F18" s="9" t="str">
        <f>[1]!splitstr($A18,CHAR(9),COLUMNS($D:F)-1)</f>
        <v/>
      </c>
      <c r="G18" s="9" t="str">
        <f>[1]!splitstr($A18,CHAR(9),COLUMNS($D:G)-1)</f>
        <v/>
      </c>
      <c r="H18" s="9" t="str">
        <f>[1]!splitstr($A18,CHAR(9),COLUMNS($D:H)-1)</f>
        <v/>
      </c>
      <c r="I18" s="26" t="str">
        <f>[1]!splitstr($A18,CHAR(9),COLUMNS($D:I)-1)</f>
        <v/>
      </c>
      <c r="J18" s="26" t="str">
        <f>[1]!splitstr($A18,CHAR(9),COLUMNS($D:J)-1)</f>
        <v/>
      </c>
      <c r="K18" s="26" t="str">
        <f>[1]!splitstr($A18,CHAR(9),COLUMNS($D:K)-1)</f>
        <v/>
      </c>
    </row>
    <row r="19" spans="1:11" s="2" customFormat="1" ht="12" customHeight="1" x14ac:dyDescent="0.4">
      <c r="A19" s="20"/>
      <c r="B19" s="7" t="s">
        <v>9</v>
      </c>
      <c r="C19" s="9" t="str">
        <f t="shared" ca="1" si="0"/>
        <v/>
      </c>
      <c r="D19" s="9" t="str">
        <f>[1]!splitstr($A19,CHAR(9),COLUMNS($D:D)-1)</f>
        <v/>
      </c>
      <c r="E19" s="9" t="str">
        <f>[1]!splitstr($A19,CHAR(9),COLUMNS($D:E)-1)</f>
        <v/>
      </c>
      <c r="F19" s="9" t="str">
        <f>[1]!splitstr($A19,CHAR(9),COLUMNS($D:F)-1)</f>
        <v/>
      </c>
      <c r="G19" s="9" t="str">
        <f>[1]!splitstr($A19,CHAR(9),COLUMNS($D:G)-1)</f>
        <v/>
      </c>
      <c r="H19" s="9" t="str">
        <f>[1]!splitstr($A19,CHAR(9),COLUMNS($D:H)-1)</f>
        <v/>
      </c>
      <c r="I19" s="26" t="str">
        <f>[1]!splitstr($A19,CHAR(9),COLUMNS($D:I)-1)</f>
        <v/>
      </c>
      <c r="J19" s="26" t="str">
        <f>[1]!splitstr($A19,CHAR(9),COLUMNS($D:J)-1)</f>
        <v/>
      </c>
      <c r="K19" s="26" t="str">
        <f>[1]!splitstr($A19,CHAR(9),COLUMNS($D:K)-1)</f>
        <v/>
      </c>
    </row>
    <row r="20" spans="1:11" s="2" customFormat="1" ht="12" customHeight="1" x14ac:dyDescent="0.4">
      <c r="A20" s="20"/>
      <c r="B20" s="7" t="s">
        <v>9</v>
      </c>
      <c r="C20" s="9" t="str">
        <f t="shared" ca="1" si="0"/>
        <v/>
      </c>
      <c r="D20" s="9" t="str">
        <f>[1]!splitstr($A20,CHAR(9),COLUMNS($D:D)-1)</f>
        <v/>
      </c>
      <c r="E20" s="9" t="str">
        <f>[1]!splitstr($A20,CHAR(9),COLUMNS($D:E)-1)</f>
        <v/>
      </c>
      <c r="F20" s="9" t="str">
        <f>[1]!splitstr($A20,CHAR(9),COLUMNS($D:F)-1)</f>
        <v/>
      </c>
      <c r="G20" s="9" t="str">
        <f>[1]!splitstr($A20,CHAR(9),COLUMNS($D:G)-1)</f>
        <v/>
      </c>
      <c r="H20" s="9" t="str">
        <f>[1]!splitstr($A20,CHAR(9),COLUMNS($D:H)-1)</f>
        <v/>
      </c>
      <c r="I20" s="26" t="str">
        <f>[1]!splitstr($A20,CHAR(9),COLUMNS($D:I)-1)</f>
        <v/>
      </c>
      <c r="J20" s="26" t="str">
        <f>[1]!splitstr($A20,CHAR(9),COLUMNS($D:J)-1)</f>
        <v/>
      </c>
      <c r="K20" s="26" t="str">
        <f>[1]!splitstr($A20,CHAR(9),COLUMNS($D:K)-1)</f>
        <v/>
      </c>
    </row>
    <row r="21" spans="1:11" s="2" customFormat="1" ht="12" customHeight="1" x14ac:dyDescent="0.4">
      <c r="A21" s="20"/>
      <c r="B21" s="7" t="s">
        <v>9</v>
      </c>
      <c r="C21" s="9" t="str">
        <f t="shared" ca="1" si="0"/>
        <v/>
      </c>
      <c r="D21" s="9" t="str">
        <f>[1]!splitstr($A21,CHAR(9),COLUMNS($D:D)-1)</f>
        <v/>
      </c>
      <c r="E21" s="9" t="str">
        <f>[1]!splitstr($A21,CHAR(9),COLUMNS($D:E)-1)</f>
        <v/>
      </c>
      <c r="F21" s="9" t="str">
        <f>[1]!splitstr($A21,CHAR(9),COLUMNS($D:F)-1)</f>
        <v/>
      </c>
      <c r="G21" s="9" t="str">
        <f>[1]!splitstr($A21,CHAR(9),COLUMNS($D:G)-1)</f>
        <v/>
      </c>
      <c r="H21" s="9" t="str">
        <f>[1]!splitstr($A21,CHAR(9),COLUMNS($D:H)-1)</f>
        <v/>
      </c>
      <c r="I21" s="26" t="str">
        <f>[1]!splitstr($A21,CHAR(9),COLUMNS($D:I)-1)</f>
        <v/>
      </c>
      <c r="J21" s="26" t="str">
        <f>[1]!splitstr($A21,CHAR(9),COLUMNS($D:J)-1)</f>
        <v/>
      </c>
      <c r="K21" s="26" t="str">
        <f>[1]!splitstr($A21,CHAR(9),COLUMNS($D:K)-1)</f>
        <v/>
      </c>
    </row>
    <row r="22" spans="1:11" s="2" customFormat="1" ht="12" customHeight="1" x14ac:dyDescent="0.4">
      <c r="A22" s="20"/>
      <c r="B22" s="7" t="s">
        <v>9</v>
      </c>
      <c r="C22" s="9" t="str">
        <f t="shared" ca="1" si="0"/>
        <v/>
      </c>
      <c r="D22" s="9" t="str">
        <f>[1]!splitstr($A22,CHAR(9),COLUMNS($D:D)-1)</f>
        <v/>
      </c>
      <c r="E22" s="9" t="str">
        <f>[1]!splitstr($A22,CHAR(9),COLUMNS($D:E)-1)</f>
        <v/>
      </c>
      <c r="F22" s="9" t="str">
        <f>[1]!splitstr($A22,CHAR(9),COLUMNS($D:F)-1)</f>
        <v/>
      </c>
      <c r="G22" s="9" t="str">
        <f>[1]!splitstr($A22,CHAR(9),COLUMNS($D:G)-1)</f>
        <v/>
      </c>
      <c r="H22" s="9" t="str">
        <f>[1]!splitstr($A22,CHAR(9),COLUMNS($D:H)-1)</f>
        <v/>
      </c>
      <c r="I22" s="26" t="str">
        <f>[1]!splitstr($A22,CHAR(9),COLUMNS($D:I)-1)</f>
        <v/>
      </c>
      <c r="J22" s="26" t="str">
        <f>[1]!splitstr($A22,CHAR(9),COLUMNS($D:J)-1)</f>
        <v/>
      </c>
      <c r="K22" s="26" t="str">
        <f>[1]!splitstr($A22,CHAR(9),COLUMNS($D:K)-1)</f>
        <v/>
      </c>
    </row>
    <row r="23" spans="1:11" s="2" customFormat="1" ht="12" customHeight="1" x14ac:dyDescent="0.4">
      <c r="A23" s="20"/>
      <c r="B23" s="7" t="s">
        <v>9</v>
      </c>
      <c r="C23" s="9" t="str">
        <f t="shared" ca="1" si="0"/>
        <v/>
      </c>
      <c r="D23" s="9" t="str">
        <f>[1]!splitstr($A23,CHAR(9),COLUMNS($D:D)-1)</f>
        <v/>
      </c>
      <c r="E23" s="9" t="str">
        <f>[1]!splitstr($A23,CHAR(9),COLUMNS($D:E)-1)</f>
        <v/>
      </c>
      <c r="F23" s="9" t="str">
        <f>[1]!splitstr($A23,CHAR(9),COLUMNS($D:F)-1)</f>
        <v/>
      </c>
      <c r="G23" s="9" t="str">
        <f>[1]!splitstr($A23,CHAR(9),COLUMNS($D:G)-1)</f>
        <v/>
      </c>
      <c r="H23" s="9" t="str">
        <f>[1]!splitstr($A23,CHAR(9),COLUMNS($D:H)-1)</f>
        <v/>
      </c>
      <c r="I23" s="26" t="str">
        <f>[1]!splitstr($A23,CHAR(9),COLUMNS($D:I)-1)</f>
        <v/>
      </c>
      <c r="J23" s="26" t="str">
        <f>[1]!splitstr($A23,CHAR(9),COLUMNS($D:J)-1)</f>
        <v/>
      </c>
      <c r="K23" s="26" t="str">
        <f>[1]!splitstr($A23,CHAR(9),COLUMNS($D:K)-1)</f>
        <v/>
      </c>
    </row>
    <row r="24" spans="1:11" s="2" customFormat="1" ht="12" customHeight="1" x14ac:dyDescent="0.4">
      <c r="A24" s="20"/>
      <c r="B24" s="7" t="s">
        <v>9</v>
      </c>
      <c r="C24" s="9" t="str">
        <f t="shared" ca="1" si="0"/>
        <v/>
      </c>
      <c r="D24" s="9" t="str">
        <f>[1]!splitstr($A24,CHAR(9),COLUMNS($D:D)-1)</f>
        <v/>
      </c>
      <c r="E24" s="9" t="str">
        <f>[1]!splitstr($A24,CHAR(9),COLUMNS($D:E)-1)</f>
        <v/>
      </c>
      <c r="F24" s="9" t="str">
        <f>[1]!splitstr($A24,CHAR(9),COLUMNS($D:F)-1)</f>
        <v/>
      </c>
      <c r="G24" s="9" t="str">
        <f>[1]!splitstr($A24,CHAR(9),COLUMNS($D:G)-1)</f>
        <v/>
      </c>
      <c r="H24" s="9" t="str">
        <f>[1]!splitstr($A24,CHAR(9),COLUMNS($D:H)-1)</f>
        <v/>
      </c>
      <c r="I24" s="26" t="str">
        <f>[1]!splitstr($A24,CHAR(9),COLUMNS($D:I)-1)</f>
        <v/>
      </c>
      <c r="J24" s="26" t="str">
        <f>[1]!splitstr($A24,CHAR(9),COLUMNS($D:J)-1)</f>
        <v/>
      </c>
      <c r="K24" s="26" t="str">
        <f>[1]!splitstr($A24,CHAR(9),COLUMNS($D:K)-1)</f>
        <v/>
      </c>
    </row>
    <row r="25" spans="1:11" s="2" customFormat="1" ht="12" customHeight="1" x14ac:dyDescent="0.4">
      <c r="A25" s="20"/>
      <c r="B25" s="7" t="s">
        <v>9</v>
      </c>
      <c r="C25" s="9" t="str">
        <f t="shared" ca="1" si="0"/>
        <v/>
      </c>
      <c r="D25" s="9" t="str">
        <f>[1]!splitstr($A25,CHAR(9),COLUMNS($D:D)-1)</f>
        <v/>
      </c>
      <c r="E25" s="9" t="str">
        <f>[1]!splitstr($A25,CHAR(9),COLUMNS($D:E)-1)</f>
        <v/>
      </c>
      <c r="F25" s="9" t="str">
        <f>[1]!splitstr($A25,CHAR(9),COLUMNS($D:F)-1)</f>
        <v/>
      </c>
      <c r="G25" s="9" t="str">
        <f>[1]!splitstr($A25,CHAR(9),COLUMNS($D:G)-1)</f>
        <v/>
      </c>
      <c r="H25" s="9" t="str">
        <f>[1]!splitstr($A25,CHAR(9),COLUMNS($D:H)-1)</f>
        <v/>
      </c>
      <c r="I25" s="26" t="str">
        <f>[1]!splitstr($A25,CHAR(9),COLUMNS($D:I)-1)</f>
        <v/>
      </c>
      <c r="J25" s="26" t="str">
        <f>[1]!splitstr($A25,CHAR(9),COLUMNS($D:J)-1)</f>
        <v/>
      </c>
      <c r="K25" s="26" t="str">
        <f>[1]!splitstr($A25,CHAR(9),COLUMNS($D:K)-1)</f>
        <v/>
      </c>
    </row>
    <row r="26" spans="1:11" s="2" customFormat="1" ht="12" customHeight="1" x14ac:dyDescent="0.4">
      <c r="A26" s="20"/>
      <c r="B26" s="7" t="s">
        <v>9</v>
      </c>
      <c r="C26" s="9" t="str">
        <f t="shared" ca="1" si="0"/>
        <v/>
      </c>
      <c r="D26" s="9" t="str">
        <f>[1]!splitstr($A26,CHAR(9),COLUMNS($D:D)-1)</f>
        <v/>
      </c>
      <c r="E26" s="9" t="str">
        <f>[1]!splitstr($A26,CHAR(9),COLUMNS($D:E)-1)</f>
        <v/>
      </c>
      <c r="F26" s="9" t="str">
        <f>[1]!splitstr($A26,CHAR(9),COLUMNS($D:F)-1)</f>
        <v/>
      </c>
      <c r="G26" s="9" t="str">
        <f>[1]!splitstr($A26,CHAR(9),COLUMNS($D:G)-1)</f>
        <v/>
      </c>
      <c r="H26" s="9" t="str">
        <f>[1]!splitstr($A26,CHAR(9),COLUMNS($D:H)-1)</f>
        <v/>
      </c>
      <c r="I26" s="26" t="str">
        <f>[1]!splitstr($A26,CHAR(9),COLUMNS($D:I)-1)</f>
        <v/>
      </c>
      <c r="J26" s="26" t="str">
        <f>[1]!splitstr($A26,CHAR(9),COLUMNS($D:J)-1)</f>
        <v/>
      </c>
      <c r="K26" s="26" t="str">
        <f>[1]!splitstr($A26,CHAR(9),COLUMNS($D:K)-1)</f>
        <v/>
      </c>
    </row>
    <row r="27" spans="1:11" s="2" customFormat="1" ht="12" customHeight="1" x14ac:dyDescent="0.4">
      <c r="A27" s="20"/>
      <c r="B27" s="7" t="s">
        <v>9</v>
      </c>
      <c r="C27" s="9" t="str">
        <f t="shared" ca="1" si="0"/>
        <v/>
      </c>
      <c r="D27" s="9" t="str">
        <f>[1]!splitstr($A27,CHAR(9),COLUMNS($D:D)-1)</f>
        <v/>
      </c>
      <c r="E27" s="9" t="str">
        <f>[1]!splitstr($A27,CHAR(9),COLUMNS($D:E)-1)</f>
        <v/>
      </c>
      <c r="F27" s="9" t="str">
        <f>[1]!splitstr($A27,CHAR(9),COLUMNS($D:F)-1)</f>
        <v/>
      </c>
      <c r="G27" s="9" t="str">
        <f>[1]!splitstr($A27,CHAR(9),COLUMNS($D:G)-1)</f>
        <v/>
      </c>
      <c r="H27" s="9" t="str">
        <f>[1]!splitstr($A27,CHAR(9),COLUMNS($D:H)-1)</f>
        <v/>
      </c>
      <c r="I27" s="26" t="str">
        <f>[1]!splitstr($A27,CHAR(9),COLUMNS($D:I)-1)</f>
        <v/>
      </c>
      <c r="J27" s="26" t="str">
        <f>[1]!splitstr($A27,CHAR(9),COLUMNS($D:J)-1)</f>
        <v/>
      </c>
      <c r="K27" s="26" t="str">
        <f>[1]!splitstr($A27,CHAR(9),COLUMNS($D:K)-1)</f>
        <v/>
      </c>
    </row>
    <row r="28" spans="1:11" s="2" customFormat="1" ht="12" customHeight="1" x14ac:dyDescent="0.4">
      <c r="A28" s="20"/>
      <c r="B28" s="7" t="s">
        <v>9</v>
      </c>
      <c r="C28" s="9" t="str">
        <f t="shared" ca="1" si="0"/>
        <v/>
      </c>
      <c r="D28" s="9" t="str">
        <f>[1]!splitstr($A28,CHAR(9),COLUMNS($D:D)-1)</f>
        <v/>
      </c>
      <c r="E28" s="9" t="str">
        <f>[1]!splitstr($A28,CHAR(9),COLUMNS($D:E)-1)</f>
        <v/>
      </c>
      <c r="F28" s="9" t="str">
        <f>[1]!splitstr($A28,CHAR(9),COLUMNS($D:F)-1)</f>
        <v/>
      </c>
      <c r="G28" s="9" t="str">
        <f>[1]!splitstr($A28,CHAR(9),COLUMNS($D:G)-1)</f>
        <v/>
      </c>
      <c r="H28" s="9" t="str">
        <f>[1]!splitstr($A28,CHAR(9),COLUMNS($D:H)-1)</f>
        <v/>
      </c>
      <c r="I28" s="26" t="str">
        <f>[1]!splitstr($A28,CHAR(9),COLUMNS($D:I)-1)</f>
        <v/>
      </c>
      <c r="J28" s="26" t="str">
        <f>[1]!splitstr($A28,CHAR(9),COLUMNS($D:J)-1)</f>
        <v/>
      </c>
      <c r="K28" s="26" t="str">
        <f>[1]!splitstr($A28,CHAR(9),COLUMNS($D:K)-1)</f>
        <v/>
      </c>
    </row>
    <row r="29" spans="1:11" s="2" customFormat="1" ht="12" customHeight="1" x14ac:dyDescent="0.4">
      <c r="A29" s="20"/>
      <c r="B29" s="7" t="s">
        <v>9</v>
      </c>
      <c r="C29" s="9" t="str">
        <f t="shared" ca="1" si="0"/>
        <v/>
      </c>
      <c r="D29" s="9" t="str">
        <f>[1]!splitstr($A29,CHAR(9),COLUMNS($D:D)-1)</f>
        <v/>
      </c>
      <c r="E29" s="9" t="str">
        <f>[1]!splitstr($A29,CHAR(9),COLUMNS($D:E)-1)</f>
        <v/>
      </c>
      <c r="F29" s="9" t="str">
        <f>[1]!splitstr($A29,CHAR(9),COLUMNS($D:F)-1)</f>
        <v/>
      </c>
      <c r="G29" s="9" t="str">
        <f>[1]!splitstr($A29,CHAR(9),COLUMNS($D:G)-1)</f>
        <v/>
      </c>
      <c r="H29" s="9" t="str">
        <f>[1]!splitstr($A29,CHAR(9),COLUMNS($D:H)-1)</f>
        <v/>
      </c>
      <c r="I29" s="26" t="str">
        <f>[1]!splitstr($A29,CHAR(9),COLUMNS($D:I)-1)</f>
        <v/>
      </c>
      <c r="J29" s="26" t="str">
        <f>[1]!splitstr($A29,CHAR(9),COLUMNS($D:J)-1)</f>
        <v/>
      </c>
      <c r="K29" s="26" t="str">
        <f>[1]!splitstr($A29,CHAR(9),COLUMNS($D:K)-1)</f>
        <v/>
      </c>
    </row>
    <row r="30" spans="1:11" s="2" customFormat="1" ht="12" customHeight="1" x14ac:dyDescent="0.4">
      <c r="A30" s="20"/>
      <c r="B30" s="7" t="s">
        <v>9</v>
      </c>
      <c r="C30" s="9" t="str">
        <f t="shared" ca="1" si="0"/>
        <v/>
      </c>
      <c r="D30" s="9" t="str">
        <f>[1]!splitstr($A30,CHAR(9),COLUMNS($D:D)-1)</f>
        <v/>
      </c>
      <c r="E30" s="9" t="str">
        <f>[1]!splitstr($A30,CHAR(9),COLUMNS($D:E)-1)</f>
        <v/>
      </c>
      <c r="F30" s="9" t="str">
        <f>[1]!splitstr($A30,CHAR(9),COLUMNS($D:F)-1)</f>
        <v/>
      </c>
      <c r="G30" s="9" t="str">
        <f>[1]!splitstr($A30,CHAR(9),COLUMNS($D:G)-1)</f>
        <v/>
      </c>
      <c r="H30" s="9" t="str">
        <f>[1]!splitstr($A30,CHAR(9),COLUMNS($D:H)-1)</f>
        <v/>
      </c>
      <c r="I30" s="26" t="str">
        <f>[1]!splitstr($A30,CHAR(9),COLUMNS($D:I)-1)</f>
        <v/>
      </c>
      <c r="J30" s="26" t="str">
        <f>[1]!splitstr($A30,CHAR(9),COLUMNS($D:J)-1)</f>
        <v/>
      </c>
      <c r="K30" s="26" t="str">
        <f>[1]!splitstr($A30,CHAR(9),COLUMNS($D:K)-1)</f>
        <v/>
      </c>
    </row>
    <row r="31" spans="1:11" s="2" customFormat="1" ht="12" customHeight="1" x14ac:dyDescent="0.4">
      <c r="A31" s="20"/>
      <c r="B31" s="7" t="s">
        <v>9</v>
      </c>
      <c r="C31" s="9" t="str">
        <f t="shared" ca="1" si="0"/>
        <v/>
      </c>
      <c r="D31" s="9" t="str">
        <f>[1]!splitstr($A31,CHAR(9),COLUMNS($D:D)-1)</f>
        <v/>
      </c>
      <c r="E31" s="9" t="str">
        <f>[1]!splitstr($A31,CHAR(9),COLUMNS($D:E)-1)</f>
        <v/>
      </c>
      <c r="F31" s="9" t="str">
        <f>[1]!splitstr($A31,CHAR(9),COLUMNS($D:F)-1)</f>
        <v/>
      </c>
      <c r="G31" s="9" t="str">
        <f>[1]!splitstr($A31,CHAR(9),COLUMNS($D:G)-1)</f>
        <v/>
      </c>
      <c r="H31" s="9" t="str">
        <f>[1]!splitstr($A31,CHAR(9),COLUMNS($D:H)-1)</f>
        <v/>
      </c>
      <c r="I31" s="26" t="str">
        <f>[1]!splitstr($A31,CHAR(9),COLUMNS($D:I)-1)</f>
        <v/>
      </c>
      <c r="J31" s="26" t="str">
        <f>[1]!splitstr($A31,CHAR(9),COLUMNS($D:J)-1)</f>
        <v/>
      </c>
      <c r="K31" s="26" t="str">
        <f>[1]!splitstr($A31,CHAR(9),COLUMNS($D:K)-1)</f>
        <v/>
      </c>
    </row>
    <row r="32" spans="1:11" s="2" customFormat="1" ht="12" customHeight="1" x14ac:dyDescent="0.4">
      <c r="A32" s="20"/>
      <c r="B32" s="7" t="s">
        <v>9</v>
      </c>
      <c r="C32" s="9" t="str">
        <f t="shared" ca="1" si="0"/>
        <v/>
      </c>
      <c r="D32" s="9" t="str">
        <f>[1]!splitstr($A32,CHAR(9),COLUMNS($D:D)-1)</f>
        <v/>
      </c>
      <c r="E32" s="9" t="str">
        <f>[1]!splitstr($A32,CHAR(9),COLUMNS($D:E)-1)</f>
        <v/>
      </c>
      <c r="F32" s="9" t="str">
        <f>[1]!splitstr($A32,CHAR(9),COLUMNS($D:F)-1)</f>
        <v/>
      </c>
      <c r="G32" s="9" t="str">
        <f>[1]!splitstr($A32,CHAR(9),COLUMNS($D:G)-1)</f>
        <v/>
      </c>
      <c r="H32" s="9" t="str">
        <f>[1]!splitstr($A32,CHAR(9),COLUMNS($D:H)-1)</f>
        <v/>
      </c>
      <c r="I32" s="26" t="str">
        <f>[1]!splitstr($A32,CHAR(9),COLUMNS($D:I)-1)</f>
        <v/>
      </c>
      <c r="J32" s="26" t="str">
        <f>[1]!splitstr($A32,CHAR(9),COLUMNS($D:J)-1)</f>
        <v/>
      </c>
      <c r="K32" s="26" t="str">
        <f>[1]!splitstr($A32,CHAR(9),COLUMNS($D:K)-1)</f>
        <v/>
      </c>
    </row>
    <row r="33" spans="1:11" s="2" customFormat="1" ht="12" customHeight="1" x14ac:dyDescent="0.4">
      <c r="A33" s="20"/>
      <c r="B33" s="7" t="s">
        <v>9</v>
      </c>
      <c r="C33" s="9" t="str">
        <f t="shared" ca="1" si="0"/>
        <v/>
      </c>
      <c r="D33" s="9" t="str">
        <f>[1]!splitstr($A33,CHAR(9),COLUMNS($D:D)-1)</f>
        <v/>
      </c>
      <c r="E33" s="9" t="str">
        <f>[1]!splitstr($A33,CHAR(9),COLUMNS($D:E)-1)</f>
        <v/>
      </c>
      <c r="F33" s="9" t="str">
        <f>[1]!splitstr($A33,CHAR(9),COLUMNS($D:F)-1)</f>
        <v/>
      </c>
      <c r="G33" s="9" t="str">
        <f>[1]!splitstr($A33,CHAR(9),COLUMNS($D:G)-1)</f>
        <v/>
      </c>
      <c r="H33" s="9" t="str">
        <f>[1]!splitstr($A33,CHAR(9),COLUMNS($D:H)-1)</f>
        <v/>
      </c>
      <c r="I33" s="26" t="str">
        <f>[1]!splitstr($A33,CHAR(9),COLUMNS($D:I)-1)</f>
        <v/>
      </c>
      <c r="J33" s="26" t="str">
        <f>[1]!splitstr($A33,CHAR(9),COLUMNS($D:J)-1)</f>
        <v/>
      </c>
      <c r="K33" s="26" t="str">
        <f>[1]!splitstr($A33,CHAR(9),COLUMNS($D:K)-1)</f>
        <v/>
      </c>
    </row>
    <row r="34" spans="1:11" s="2" customFormat="1" ht="12" customHeight="1" x14ac:dyDescent="0.4">
      <c r="A34" s="20"/>
      <c r="B34" s="7" t="s">
        <v>9</v>
      </c>
      <c r="C34" s="9" t="str">
        <f t="shared" ca="1" si="0"/>
        <v/>
      </c>
      <c r="D34" s="9" t="str">
        <f>[1]!splitstr($A34,CHAR(9),COLUMNS($D:D)-1)</f>
        <v/>
      </c>
      <c r="E34" s="9" t="str">
        <f>[1]!splitstr($A34,CHAR(9),COLUMNS($D:E)-1)</f>
        <v/>
      </c>
      <c r="F34" s="9" t="str">
        <f>[1]!splitstr($A34,CHAR(9),COLUMNS($D:F)-1)</f>
        <v/>
      </c>
      <c r="G34" s="9" t="str">
        <f>[1]!splitstr($A34,CHAR(9),COLUMNS($D:G)-1)</f>
        <v/>
      </c>
      <c r="H34" s="9" t="str">
        <f>[1]!splitstr($A34,CHAR(9),COLUMNS($D:H)-1)</f>
        <v/>
      </c>
      <c r="I34" s="26" t="str">
        <f>[1]!splitstr($A34,CHAR(9),COLUMNS($D:I)-1)</f>
        <v/>
      </c>
      <c r="J34" s="26" t="str">
        <f>[1]!splitstr($A34,CHAR(9),COLUMNS($D:J)-1)</f>
        <v/>
      </c>
      <c r="K34" s="26" t="str">
        <f>[1]!splitstr($A34,CHAR(9),COLUMNS($D:K)-1)</f>
        <v/>
      </c>
    </row>
    <row r="35" spans="1:11" s="2" customFormat="1" ht="12" customHeight="1" x14ac:dyDescent="0.4">
      <c r="A35" s="20"/>
      <c r="B35" s="7" t="s">
        <v>9</v>
      </c>
      <c r="C35" s="9" t="str">
        <f t="shared" ca="1" si="0"/>
        <v/>
      </c>
      <c r="D35" s="9" t="str">
        <f>[1]!splitstr($A35,CHAR(9),COLUMNS($D:D)-1)</f>
        <v/>
      </c>
      <c r="E35" s="9" t="str">
        <f>[1]!splitstr($A35,CHAR(9),COLUMNS($D:E)-1)</f>
        <v/>
      </c>
      <c r="F35" s="9" t="str">
        <f>[1]!splitstr($A35,CHAR(9),COLUMNS($D:F)-1)</f>
        <v/>
      </c>
      <c r="G35" s="9" t="str">
        <f>[1]!splitstr($A35,CHAR(9),COLUMNS($D:G)-1)</f>
        <v/>
      </c>
      <c r="H35" s="9" t="str">
        <f>[1]!splitstr($A35,CHAR(9),COLUMNS($D:H)-1)</f>
        <v/>
      </c>
      <c r="I35" s="26" t="str">
        <f>[1]!splitstr($A35,CHAR(9),COLUMNS($D:I)-1)</f>
        <v/>
      </c>
      <c r="J35" s="26" t="str">
        <f>[1]!splitstr($A35,CHAR(9),COLUMNS($D:J)-1)</f>
        <v/>
      </c>
      <c r="K35" s="26" t="str">
        <f>[1]!splitstr($A35,CHAR(9),COLUMNS($D:K)-1)</f>
        <v/>
      </c>
    </row>
    <row r="36" spans="1:11" s="2" customFormat="1" ht="12" customHeight="1" x14ac:dyDescent="0.4">
      <c r="A36" s="20"/>
      <c r="B36" s="7" t="s">
        <v>9</v>
      </c>
      <c r="C36" s="9" t="str">
        <f t="shared" ca="1" si="0"/>
        <v/>
      </c>
      <c r="D36" s="9" t="str">
        <f>[1]!splitstr($A36,CHAR(9),COLUMNS($D:D)-1)</f>
        <v/>
      </c>
      <c r="E36" s="9" t="str">
        <f>[1]!splitstr($A36,CHAR(9),COLUMNS($D:E)-1)</f>
        <v/>
      </c>
      <c r="F36" s="9" t="str">
        <f>[1]!splitstr($A36,CHAR(9),COLUMNS($D:F)-1)</f>
        <v/>
      </c>
      <c r="G36" s="9" t="str">
        <f>[1]!splitstr($A36,CHAR(9),COLUMNS($D:G)-1)</f>
        <v/>
      </c>
      <c r="H36" s="9" t="str">
        <f>[1]!splitstr($A36,CHAR(9),COLUMNS($D:H)-1)</f>
        <v/>
      </c>
      <c r="I36" s="26" t="str">
        <f>[1]!splitstr($A36,CHAR(9),COLUMNS($D:I)-1)</f>
        <v/>
      </c>
      <c r="J36" s="26" t="str">
        <f>[1]!splitstr($A36,CHAR(9),COLUMNS($D:J)-1)</f>
        <v/>
      </c>
      <c r="K36" s="26" t="str">
        <f>[1]!splitstr($A36,CHAR(9),COLUMNS($D:K)-1)</f>
        <v/>
      </c>
    </row>
    <row r="37" spans="1:11" s="2" customFormat="1" ht="12" customHeight="1" x14ac:dyDescent="0.4">
      <c r="A37" s="20"/>
      <c r="B37" s="7" t="s">
        <v>9</v>
      </c>
      <c r="C37" s="9" t="str">
        <f t="shared" ca="1" si="0"/>
        <v/>
      </c>
      <c r="D37" s="9" t="str">
        <f>[1]!splitstr($A37,CHAR(9),COLUMNS($D:D)-1)</f>
        <v/>
      </c>
      <c r="E37" s="9" t="str">
        <f>[1]!splitstr($A37,CHAR(9),COLUMNS($D:E)-1)</f>
        <v/>
      </c>
      <c r="F37" s="9" t="str">
        <f>[1]!splitstr($A37,CHAR(9),COLUMNS($D:F)-1)</f>
        <v/>
      </c>
      <c r="G37" s="9" t="str">
        <f>[1]!splitstr($A37,CHAR(9),COLUMNS($D:G)-1)</f>
        <v/>
      </c>
      <c r="H37" s="9" t="str">
        <f>[1]!splitstr($A37,CHAR(9),COLUMNS($D:H)-1)</f>
        <v/>
      </c>
      <c r="I37" s="26" t="str">
        <f>[1]!splitstr($A37,CHAR(9),COLUMNS($D:I)-1)</f>
        <v/>
      </c>
      <c r="J37" s="26" t="str">
        <f>[1]!splitstr($A37,CHAR(9),COLUMNS($D:J)-1)</f>
        <v/>
      </c>
      <c r="K37" s="26" t="str">
        <f>[1]!splitstr($A37,CHAR(9),COLUMNS($D:K)-1)</f>
        <v/>
      </c>
    </row>
    <row r="38" spans="1:11" s="2" customFormat="1" ht="12" customHeight="1" x14ac:dyDescent="0.4">
      <c r="A38" s="20"/>
      <c r="B38" s="7" t="s">
        <v>9</v>
      </c>
      <c r="C38" s="9" t="str">
        <f t="shared" ca="1" si="0"/>
        <v/>
      </c>
      <c r="D38" s="9" t="str">
        <f>[1]!splitstr($A38,CHAR(9),COLUMNS($D:D)-1)</f>
        <v/>
      </c>
      <c r="E38" s="9" t="str">
        <f>[1]!splitstr($A38,CHAR(9),COLUMNS($D:E)-1)</f>
        <v/>
      </c>
      <c r="F38" s="9" t="str">
        <f>[1]!splitstr($A38,CHAR(9),COLUMNS($D:F)-1)</f>
        <v/>
      </c>
      <c r="G38" s="9" t="str">
        <f>[1]!splitstr($A38,CHAR(9),COLUMNS($D:G)-1)</f>
        <v/>
      </c>
      <c r="H38" s="9" t="str">
        <f>[1]!splitstr($A38,CHAR(9),COLUMNS($D:H)-1)</f>
        <v/>
      </c>
      <c r="I38" s="26" t="str">
        <f>[1]!splitstr($A38,CHAR(9),COLUMNS($D:I)-1)</f>
        <v/>
      </c>
      <c r="J38" s="26" t="str">
        <f>[1]!splitstr($A38,CHAR(9),COLUMNS($D:J)-1)</f>
        <v/>
      </c>
      <c r="K38" s="26" t="str">
        <f>[1]!splitstr($A38,CHAR(9),COLUMNS($D:K)-1)</f>
        <v/>
      </c>
    </row>
    <row r="39" spans="1:11" s="2" customFormat="1" ht="12" customHeight="1" x14ac:dyDescent="0.4">
      <c r="A39" s="20"/>
      <c r="B39" s="7" t="s">
        <v>9</v>
      </c>
      <c r="C39" s="9" t="str">
        <f t="shared" ca="1" si="0"/>
        <v/>
      </c>
      <c r="D39" s="9" t="str">
        <f>[1]!splitstr($A39,CHAR(9),COLUMNS($D:D)-1)</f>
        <v/>
      </c>
      <c r="E39" s="9" t="str">
        <f>[1]!splitstr($A39,CHAR(9),COLUMNS($D:E)-1)</f>
        <v/>
      </c>
      <c r="F39" s="9" t="str">
        <f>[1]!splitstr($A39,CHAR(9),COLUMNS($D:F)-1)</f>
        <v/>
      </c>
      <c r="G39" s="9" t="str">
        <f>[1]!splitstr($A39,CHAR(9),COLUMNS($D:G)-1)</f>
        <v/>
      </c>
      <c r="H39" s="9" t="str">
        <f>[1]!splitstr($A39,CHAR(9),COLUMNS($D:H)-1)</f>
        <v/>
      </c>
      <c r="I39" s="26" t="str">
        <f>[1]!splitstr($A39,CHAR(9),COLUMNS($D:I)-1)</f>
        <v/>
      </c>
      <c r="J39" s="26" t="str">
        <f>[1]!splitstr($A39,CHAR(9),COLUMNS($D:J)-1)</f>
        <v/>
      </c>
      <c r="K39" s="26" t="str">
        <f>[1]!splitstr($A39,CHAR(9),COLUMNS($D:K)-1)</f>
        <v/>
      </c>
    </row>
    <row r="40" spans="1:11" s="2" customFormat="1" ht="12" customHeight="1" x14ac:dyDescent="0.4">
      <c r="A40" s="20"/>
      <c r="B40" s="7" t="s">
        <v>9</v>
      </c>
      <c r="C40" s="9" t="str">
        <f t="shared" ca="1" si="0"/>
        <v/>
      </c>
      <c r="D40" s="9" t="str">
        <f>[1]!splitstr($A40,CHAR(9),COLUMNS($D:D)-1)</f>
        <v/>
      </c>
      <c r="E40" s="9" t="str">
        <f>[1]!splitstr($A40,CHAR(9),COLUMNS($D:E)-1)</f>
        <v/>
      </c>
      <c r="F40" s="9" t="str">
        <f>[1]!splitstr($A40,CHAR(9),COLUMNS($D:F)-1)</f>
        <v/>
      </c>
      <c r="G40" s="9" t="str">
        <f>[1]!splitstr($A40,CHAR(9),COLUMNS($D:G)-1)</f>
        <v/>
      </c>
      <c r="H40" s="9" t="str">
        <f>[1]!splitstr($A40,CHAR(9),COLUMNS($D:H)-1)</f>
        <v/>
      </c>
      <c r="I40" s="26" t="str">
        <f>[1]!splitstr($A40,CHAR(9),COLUMNS($D:I)-1)</f>
        <v/>
      </c>
      <c r="J40" s="26" t="str">
        <f>[1]!splitstr($A40,CHAR(9),COLUMNS($D:J)-1)</f>
        <v/>
      </c>
      <c r="K40" s="26" t="str">
        <f>[1]!splitstr($A40,CHAR(9),COLUMNS($D:K)-1)</f>
        <v/>
      </c>
    </row>
    <row r="41" spans="1:11" s="2" customFormat="1" ht="12" customHeight="1" x14ac:dyDescent="0.4">
      <c r="A41" s="20"/>
      <c r="B41" s="7" t="s">
        <v>9</v>
      </c>
      <c r="C41" s="9" t="str">
        <f t="shared" ca="1" si="0"/>
        <v/>
      </c>
      <c r="D41" s="9" t="str">
        <f>[1]!splitstr($A41,CHAR(9),COLUMNS($D:D)-1)</f>
        <v/>
      </c>
      <c r="E41" s="9" t="str">
        <f>[1]!splitstr($A41,CHAR(9),COLUMNS($D:E)-1)</f>
        <v/>
      </c>
      <c r="F41" s="9" t="str">
        <f>[1]!splitstr($A41,CHAR(9),COLUMNS($D:F)-1)</f>
        <v/>
      </c>
      <c r="G41" s="9" t="str">
        <f>[1]!splitstr($A41,CHAR(9),COLUMNS($D:G)-1)</f>
        <v/>
      </c>
      <c r="H41" s="9" t="str">
        <f>[1]!splitstr($A41,CHAR(9),COLUMNS($D:H)-1)</f>
        <v/>
      </c>
      <c r="I41" s="26" t="str">
        <f>[1]!splitstr($A41,CHAR(9),COLUMNS($D:I)-1)</f>
        <v/>
      </c>
      <c r="J41" s="26" t="str">
        <f>[1]!splitstr($A41,CHAR(9),COLUMNS($D:J)-1)</f>
        <v/>
      </c>
      <c r="K41" s="26" t="str">
        <f>[1]!splitstr($A41,CHAR(9),COLUMNS($D:K)-1)</f>
        <v/>
      </c>
    </row>
    <row r="42" spans="1:11" s="2" customFormat="1" ht="12" customHeight="1" x14ac:dyDescent="0.4">
      <c r="A42" s="20"/>
      <c r="B42" s="7" t="s">
        <v>9</v>
      </c>
      <c r="C42" s="9" t="str">
        <f t="shared" ca="1" si="0"/>
        <v/>
      </c>
      <c r="D42" s="9" t="str">
        <f>[1]!splitstr($A42,CHAR(9),COLUMNS($D:D)-1)</f>
        <v/>
      </c>
      <c r="E42" s="9" t="str">
        <f>[1]!splitstr($A42,CHAR(9),COLUMNS($D:E)-1)</f>
        <v/>
      </c>
      <c r="F42" s="9" t="str">
        <f>[1]!splitstr($A42,CHAR(9),COLUMNS($D:F)-1)</f>
        <v/>
      </c>
      <c r="G42" s="9" t="str">
        <f>[1]!splitstr($A42,CHAR(9),COLUMNS($D:G)-1)</f>
        <v/>
      </c>
      <c r="H42" s="9" t="str">
        <f>[1]!splitstr($A42,CHAR(9),COLUMNS($D:H)-1)</f>
        <v/>
      </c>
      <c r="I42" s="26" t="str">
        <f>[1]!splitstr($A42,CHAR(9),COLUMNS($D:I)-1)</f>
        <v/>
      </c>
      <c r="J42" s="26" t="str">
        <f>[1]!splitstr($A42,CHAR(9),COLUMNS($D:J)-1)</f>
        <v/>
      </c>
      <c r="K42" s="26" t="str">
        <f>[1]!splitstr($A42,CHAR(9),COLUMNS($D:K)-1)</f>
        <v/>
      </c>
    </row>
    <row r="43" spans="1:11" s="2" customFormat="1" ht="12" customHeight="1" x14ac:dyDescent="0.4">
      <c r="A43" s="20"/>
      <c r="B43" s="7" t="s">
        <v>9</v>
      </c>
      <c r="C43" s="9" t="str">
        <f t="shared" ca="1" si="0"/>
        <v/>
      </c>
      <c r="D43" s="9" t="str">
        <f>[1]!splitstr($A43,CHAR(9),COLUMNS($D:D)-1)</f>
        <v/>
      </c>
      <c r="E43" s="9" t="str">
        <f>[1]!splitstr($A43,CHAR(9),COLUMNS($D:E)-1)</f>
        <v/>
      </c>
      <c r="F43" s="9" t="str">
        <f>[1]!splitstr($A43,CHAR(9),COLUMNS($D:F)-1)</f>
        <v/>
      </c>
      <c r="G43" s="9" t="str">
        <f>[1]!splitstr($A43,CHAR(9),COLUMNS($D:G)-1)</f>
        <v/>
      </c>
      <c r="H43" s="9" t="str">
        <f>[1]!splitstr($A43,CHAR(9),COLUMNS($D:H)-1)</f>
        <v/>
      </c>
      <c r="I43" s="26" t="str">
        <f>[1]!splitstr($A43,CHAR(9),COLUMNS($D:I)-1)</f>
        <v/>
      </c>
      <c r="J43" s="26" t="str">
        <f>[1]!splitstr($A43,CHAR(9),COLUMNS($D:J)-1)</f>
        <v/>
      </c>
      <c r="K43" s="26" t="str">
        <f>[1]!splitstr($A43,CHAR(9),COLUMNS($D:K)-1)</f>
        <v/>
      </c>
    </row>
    <row r="44" spans="1:11" s="2" customFormat="1" ht="12" customHeight="1" x14ac:dyDescent="0.4">
      <c r="A44" s="20"/>
      <c r="B44" s="7" t="s">
        <v>9</v>
      </c>
      <c r="C44" s="9" t="str">
        <f t="shared" ca="1" si="0"/>
        <v/>
      </c>
      <c r="D44" s="9" t="str">
        <f>[1]!splitstr($A44,CHAR(9),COLUMNS($D:D)-1)</f>
        <v/>
      </c>
      <c r="E44" s="9" t="str">
        <f>[1]!splitstr($A44,CHAR(9),COLUMNS($D:E)-1)</f>
        <v/>
      </c>
      <c r="F44" s="9" t="str">
        <f>[1]!splitstr($A44,CHAR(9),COLUMNS($D:F)-1)</f>
        <v/>
      </c>
      <c r="G44" s="9" t="str">
        <f>[1]!splitstr($A44,CHAR(9),COLUMNS($D:G)-1)</f>
        <v/>
      </c>
      <c r="H44" s="9" t="str">
        <f>[1]!splitstr($A44,CHAR(9),COLUMNS($D:H)-1)</f>
        <v/>
      </c>
      <c r="I44" s="26" t="str">
        <f>[1]!splitstr($A44,CHAR(9),COLUMNS($D:I)-1)</f>
        <v/>
      </c>
      <c r="J44" s="26" t="str">
        <f>[1]!splitstr($A44,CHAR(9),COLUMNS($D:J)-1)</f>
        <v/>
      </c>
      <c r="K44" s="26" t="str">
        <f>[1]!splitstr($A44,CHAR(9),COLUMNS($D:K)-1)</f>
        <v/>
      </c>
    </row>
    <row r="45" spans="1:11" s="2" customFormat="1" ht="12" customHeight="1" x14ac:dyDescent="0.4">
      <c r="A45" s="20"/>
      <c r="B45" s="7" t="s">
        <v>9</v>
      </c>
      <c r="C45" s="9" t="str">
        <f t="shared" ca="1" si="0"/>
        <v/>
      </c>
      <c r="D45" s="9" t="str">
        <f>[1]!splitstr($A45,CHAR(9),COLUMNS($D:D)-1)</f>
        <v/>
      </c>
      <c r="E45" s="9" t="str">
        <f>[1]!splitstr($A45,CHAR(9),COLUMNS($D:E)-1)</f>
        <v/>
      </c>
      <c r="F45" s="9" t="str">
        <f>[1]!splitstr($A45,CHAR(9),COLUMNS($D:F)-1)</f>
        <v/>
      </c>
      <c r="G45" s="9" t="str">
        <f>[1]!splitstr($A45,CHAR(9),COLUMNS($D:G)-1)</f>
        <v/>
      </c>
      <c r="H45" s="9" t="str">
        <f>[1]!splitstr($A45,CHAR(9),COLUMNS($D:H)-1)</f>
        <v/>
      </c>
      <c r="I45" s="26" t="str">
        <f>[1]!splitstr($A45,CHAR(9),COLUMNS($D:I)-1)</f>
        <v/>
      </c>
      <c r="J45" s="26" t="str">
        <f>[1]!splitstr($A45,CHAR(9),COLUMNS($D:J)-1)</f>
        <v/>
      </c>
      <c r="K45" s="26" t="str">
        <f>[1]!splitstr($A45,CHAR(9),COLUMNS($D:K)-1)</f>
        <v/>
      </c>
    </row>
    <row r="46" spans="1:11" s="2" customFormat="1" ht="12" customHeight="1" x14ac:dyDescent="0.4">
      <c r="A46" s="20"/>
      <c r="B46" s="7" t="s">
        <v>9</v>
      </c>
      <c r="C46" s="9" t="str">
        <f t="shared" ca="1" si="0"/>
        <v/>
      </c>
      <c r="D46" s="9" t="str">
        <f>[1]!splitstr($A46,CHAR(9),COLUMNS($D:D)-1)</f>
        <v/>
      </c>
      <c r="E46" s="9" t="str">
        <f>[1]!splitstr($A46,CHAR(9),COLUMNS($D:E)-1)</f>
        <v/>
      </c>
      <c r="F46" s="9" t="str">
        <f>[1]!splitstr($A46,CHAR(9),COLUMNS($D:F)-1)</f>
        <v/>
      </c>
      <c r="G46" s="9" t="str">
        <f>[1]!splitstr($A46,CHAR(9),COLUMNS($D:G)-1)</f>
        <v/>
      </c>
      <c r="H46" s="9" t="str">
        <f>[1]!splitstr($A46,CHAR(9),COLUMNS($D:H)-1)</f>
        <v/>
      </c>
      <c r="I46" s="26" t="str">
        <f>[1]!splitstr($A46,CHAR(9),COLUMNS($D:I)-1)</f>
        <v/>
      </c>
      <c r="J46" s="26" t="str">
        <f>[1]!splitstr($A46,CHAR(9),COLUMNS($D:J)-1)</f>
        <v/>
      </c>
      <c r="K46" s="26" t="str">
        <f>[1]!splitstr($A46,CHAR(9),COLUMNS($D:K)-1)</f>
        <v/>
      </c>
    </row>
    <row r="47" spans="1:11" s="2" customFormat="1" ht="12" customHeight="1" x14ac:dyDescent="0.4">
      <c r="A47" s="20"/>
      <c r="B47" s="7" t="s">
        <v>9</v>
      </c>
      <c r="C47" s="9" t="str">
        <f t="shared" ca="1" si="0"/>
        <v/>
      </c>
      <c r="D47" s="9" t="str">
        <f>[1]!splitstr($A47,CHAR(9),COLUMNS($D:D)-1)</f>
        <v/>
      </c>
      <c r="E47" s="9" t="str">
        <f>[1]!splitstr($A47,CHAR(9),COLUMNS($D:E)-1)</f>
        <v/>
      </c>
      <c r="F47" s="9" t="str">
        <f>[1]!splitstr($A47,CHAR(9),COLUMNS($D:F)-1)</f>
        <v/>
      </c>
      <c r="G47" s="9" t="str">
        <f>[1]!splitstr($A47,CHAR(9),COLUMNS($D:G)-1)</f>
        <v/>
      </c>
      <c r="H47" s="9" t="str">
        <f>[1]!splitstr($A47,CHAR(9),COLUMNS($D:H)-1)</f>
        <v/>
      </c>
      <c r="I47" s="26" t="str">
        <f>[1]!splitstr($A47,CHAR(9),COLUMNS($D:I)-1)</f>
        <v/>
      </c>
      <c r="J47" s="26" t="str">
        <f>[1]!splitstr($A47,CHAR(9),COLUMNS($D:J)-1)</f>
        <v/>
      </c>
      <c r="K47" s="26" t="str">
        <f>[1]!splitstr($A47,CHAR(9),COLUMNS($D:K)-1)</f>
        <v/>
      </c>
    </row>
    <row r="48" spans="1:11" s="2" customFormat="1" ht="12" customHeight="1" x14ac:dyDescent="0.4">
      <c r="A48" s="20"/>
      <c r="B48" s="7" t="s">
        <v>9</v>
      </c>
      <c r="C48" s="9" t="str">
        <f t="shared" ca="1" si="0"/>
        <v/>
      </c>
      <c r="D48" s="9" t="str">
        <f>[1]!splitstr($A48,CHAR(9),COLUMNS($D:D)-1)</f>
        <v/>
      </c>
      <c r="E48" s="9" t="str">
        <f>[1]!splitstr($A48,CHAR(9),COLUMNS($D:E)-1)</f>
        <v/>
      </c>
      <c r="F48" s="9" t="str">
        <f>[1]!splitstr($A48,CHAR(9),COLUMNS($D:F)-1)</f>
        <v/>
      </c>
      <c r="G48" s="9" t="str">
        <f>[1]!splitstr($A48,CHAR(9),COLUMNS($D:G)-1)</f>
        <v/>
      </c>
      <c r="H48" s="9" t="str">
        <f>[1]!splitstr($A48,CHAR(9),COLUMNS($D:H)-1)</f>
        <v/>
      </c>
      <c r="I48" s="26" t="str">
        <f>[1]!splitstr($A48,CHAR(9),COLUMNS($D:I)-1)</f>
        <v/>
      </c>
      <c r="J48" s="26" t="str">
        <f>[1]!splitstr($A48,CHAR(9),COLUMNS($D:J)-1)</f>
        <v/>
      </c>
      <c r="K48" s="26" t="str">
        <f>[1]!splitstr($A48,CHAR(9),COLUMNS($D:K)-1)</f>
        <v/>
      </c>
    </row>
    <row r="49" spans="1:11" s="2" customFormat="1" ht="12" customHeight="1" x14ac:dyDescent="0.4">
      <c r="A49" s="20"/>
      <c r="B49" s="7" t="s">
        <v>9</v>
      </c>
      <c r="C49" s="9" t="str">
        <f t="shared" ca="1" si="0"/>
        <v/>
      </c>
      <c r="D49" s="9" t="str">
        <f>[1]!splitstr($A49,CHAR(9),COLUMNS($D:D)-1)</f>
        <v/>
      </c>
      <c r="E49" s="9" t="str">
        <f>[1]!splitstr($A49,CHAR(9),COLUMNS($D:E)-1)</f>
        <v/>
      </c>
      <c r="F49" s="9" t="str">
        <f>[1]!splitstr($A49,CHAR(9),COLUMNS($D:F)-1)</f>
        <v/>
      </c>
      <c r="G49" s="9" t="str">
        <f>[1]!splitstr($A49,CHAR(9),COLUMNS($D:G)-1)</f>
        <v/>
      </c>
      <c r="H49" s="9" t="str">
        <f>[1]!splitstr($A49,CHAR(9),COLUMNS($D:H)-1)</f>
        <v/>
      </c>
      <c r="I49" s="26" t="str">
        <f>[1]!splitstr($A49,CHAR(9),COLUMNS($D:I)-1)</f>
        <v/>
      </c>
      <c r="J49" s="26" t="str">
        <f>[1]!splitstr($A49,CHAR(9),COLUMNS($D:J)-1)</f>
        <v/>
      </c>
      <c r="K49" s="26" t="str">
        <f>[1]!splitstr($A49,CHAR(9),COLUMNS($D:K)-1)</f>
        <v/>
      </c>
    </row>
    <row r="50" spans="1:11" s="2" customFormat="1" ht="12" customHeight="1" x14ac:dyDescent="0.4">
      <c r="A50" s="20"/>
      <c r="B50" s="7" t="s">
        <v>9</v>
      </c>
      <c r="C50" s="9" t="str">
        <f t="shared" ca="1" si="0"/>
        <v/>
      </c>
      <c r="D50" s="9" t="str">
        <f>[1]!splitstr($A50,CHAR(9),COLUMNS($D:D)-1)</f>
        <v/>
      </c>
      <c r="E50" s="9" t="str">
        <f>[1]!splitstr($A50,CHAR(9),COLUMNS($D:E)-1)</f>
        <v/>
      </c>
      <c r="F50" s="9" t="str">
        <f>[1]!splitstr($A50,CHAR(9),COLUMNS($D:F)-1)</f>
        <v/>
      </c>
      <c r="G50" s="9" t="str">
        <f>[1]!splitstr($A50,CHAR(9),COLUMNS($D:G)-1)</f>
        <v/>
      </c>
      <c r="H50" s="9" t="str">
        <f>[1]!splitstr($A50,CHAR(9),COLUMNS($D:H)-1)</f>
        <v/>
      </c>
      <c r="I50" s="26" t="str">
        <f>[1]!splitstr($A50,CHAR(9),COLUMNS($D:I)-1)</f>
        <v/>
      </c>
      <c r="J50" s="26" t="str">
        <f>[1]!splitstr($A50,CHAR(9),COLUMNS($D:J)-1)</f>
        <v/>
      </c>
      <c r="K50" s="26" t="str">
        <f>[1]!splitstr($A50,CHAR(9),COLUMNS($D:K)-1)</f>
        <v/>
      </c>
    </row>
    <row r="51" spans="1:11" s="2" customFormat="1" ht="12" customHeight="1" x14ac:dyDescent="0.4">
      <c r="A51" s="20"/>
      <c r="B51" s="7" t="s">
        <v>9</v>
      </c>
      <c r="C51" s="9" t="str">
        <f t="shared" ca="1" si="0"/>
        <v/>
      </c>
      <c r="D51" s="9" t="str">
        <f>[1]!splitstr($A51,CHAR(9),COLUMNS($D:D)-1)</f>
        <v/>
      </c>
      <c r="E51" s="9" t="str">
        <f>[1]!splitstr($A51,CHAR(9),COLUMNS($D:E)-1)</f>
        <v/>
      </c>
      <c r="F51" s="9" t="str">
        <f>[1]!splitstr($A51,CHAR(9),COLUMNS($D:F)-1)</f>
        <v/>
      </c>
      <c r="G51" s="9" t="str">
        <f>[1]!splitstr($A51,CHAR(9),COLUMNS($D:G)-1)</f>
        <v/>
      </c>
      <c r="H51" s="9" t="str">
        <f>[1]!splitstr($A51,CHAR(9),COLUMNS($D:H)-1)</f>
        <v/>
      </c>
      <c r="I51" s="26" t="str">
        <f>[1]!splitstr($A51,CHAR(9),COLUMNS($D:I)-1)</f>
        <v/>
      </c>
      <c r="J51" s="26" t="str">
        <f>[1]!splitstr($A51,CHAR(9),COLUMNS($D:J)-1)</f>
        <v/>
      </c>
      <c r="K51" s="26" t="str">
        <f>[1]!splitstr($A51,CHAR(9),COLUMNS($D:K)-1)</f>
        <v/>
      </c>
    </row>
    <row r="52" spans="1:11" s="2" customFormat="1" ht="12" customHeight="1" x14ac:dyDescent="0.4">
      <c r="A52" s="20"/>
      <c r="B52" s="7" t="s">
        <v>9</v>
      </c>
      <c r="C52" s="9" t="str">
        <f t="shared" ca="1" si="0"/>
        <v/>
      </c>
      <c r="D52" s="9" t="str">
        <f>[1]!splitstr($A52,CHAR(9),COLUMNS($D:D)-1)</f>
        <v/>
      </c>
      <c r="E52" s="9" t="str">
        <f>[1]!splitstr($A52,CHAR(9),COLUMNS($D:E)-1)</f>
        <v/>
      </c>
      <c r="F52" s="9" t="str">
        <f>[1]!splitstr($A52,CHAR(9),COLUMNS($D:F)-1)</f>
        <v/>
      </c>
      <c r="G52" s="9" t="str">
        <f>[1]!splitstr($A52,CHAR(9),COLUMNS($D:G)-1)</f>
        <v/>
      </c>
      <c r="H52" s="9" t="str">
        <f>[1]!splitstr($A52,CHAR(9),COLUMNS($D:H)-1)</f>
        <v/>
      </c>
      <c r="I52" s="26" t="str">
        <f>[1]!splitstr($A52,CHAR(9),COLUMNS($D:I)-1)</f>
        <v/>
      </c>
      <c r="J52" s="26" t="str">
        <f>[1]!splitstr($A52,CHAR(9),COLUMNS($D:J)-1)</f>
        <v/>
      </c>
      <c r="K52" s="26" t="str">
        <f>[1]!splitstr($A52,CHAR(9),COLUMNS($D:K)-1)</f>
        <v/>
      </c>
    </row>
    <row r="53" spans="1:11" s="2" customFormat="1" ht="12" customHeight="1" x14ac:dyDescent="0.4">
      <c r="A53" s="20"/>
      <c r="B53" s="7" t="s">
        <v>9</v>
      </c>
      <c r="C53" s="9" t="str">
        <f t="shared" ca="1" si="0"/>
        <v/>
      </c>
      <c r="D53" s="9" t="str">
        <f>[1]!splitstr($A53,CHAR(9),COLUMNS($D:D)-1)</f>
        <v/>
      </c>
      <c r="E53" s="9" t="str">
        <f>[1]!splitstr($A53,CHAR(9),COLUMNS($D:E)-1)</f>
        <v/>
      </c>
      <c r="F53" s="9" t="str">
        <f>[1]!splitstr($A53,CHAR(9),COLUMNS($D:F)-1)</f>
        <v/>
      </c>
      <c r="G53" s="9" t="str">
        <f>[1]!splitstr($A53,CHAR(9),COLUMNS($D:G)-1)</f>
        <v/>
      </c>
      <c r="H53" s="9" t="str">
        <f>[1]!splitstr($A53,CHAR(9),COLUMNS($D:H)-1)</f>
        <v/>
      </c>
      <c r="I53" s="26" t="str">
        <f>[1]!splitstr($A53,CHAR(9),COLUMNS($D:I)-1)</f>
        <v/>
      </c>
      <c r="J53" s="26" t="str">
        <f>[1]!splitstr($A53,CHAR(9),COLUMNS($D:J)-1)</f>
        <v/>
      </c>
      <c r="K53" s="26" t="str">
        <f>[1]!splitstr($A53,CHAR(9),COLUMNS($D:K)-1)</f>
        <v/>
      </c>
    </row>
    <row r="54" spans="1:11" s="2" customFormat="1" ht="12" customHeight="1" x14ac:dyDescent="0.4">
      <c r="A54" s="20"/>
      <c r="B54" s="7" t="s">
        <v>9</v>
      </c>
      <c r="C54" s="9" t="str">
        <f t="shared" ca="1" si="0"/>
        <v/>
      </c>
      <c r="D54" s="9" t="str">
        <f>[1]!splitstr($A54,CHAR(9),COLUMNS($D:D)-1)</f>
        <v/>
      </c>
      <c r="E54" s="9" t="str">
        <f>[1]!splitstr($A54,CHAR(9),COLUMNS($D:E)-1)</f>
        <v/>
      </c>
      <c r="F54" s="9" t="str">
        <f>[1]!splitstr($A54,CHAR(9),COLUMNS($D:F)-1)</f>
        <v/>
      </c>
      <c r="G54" s="9" t="str">
        <f>[1]!splitstr($A54,CHAR(9),COLUMNS($D:G)-1)</f>
        <v/>
      </c>
      <c r="H54" s="9" t="str">
        <f>[1]!splitstr($A54,CHAR(9),COLUMNS($D:H)-1)</f>
        <v/>
      </c>
      <c r="I54" s="26" t="str">
        <f>[1]!splitstr($A54,CHAR(9),COLUMNS($D:I)-1)</f>
        <v/>
      </c>
      <c r="J54" s="26" t="str">
        <f>[1]!splitstr($A54,CHAR(9),COLUMNS($D:J)-1)</f>
        <v/>
      </c>
      <c r="K54" s="26" t="str">
        <f>[1]!splitstr($A54,CHAR(9),COLUMNS($D:K)-1)</f>
        <v/>
      </c>
    </row>
    <row r="55" spans="1:11" s="2" customFormat="1" ht="12" customHeight="1" x14ac:dyDescent="0.4">
      <c r="A55" s="20"/>
      <c r="B55" s="7" t="s">
        <v>9</v>
      </c>
      <c r="C55" s="9" t="str">
        <f t="shared" ca="1" si="0"/>
        <v/>
      </c>
      <c r="D55" s="9" t="str">
        <f>[1]!splitstr($A55,CHAR(9),COLUMNS($D:D)-1)</f>
        <v/>
      </c>
      <c r="E55" s="9" t="str">
        <f>[1]!splitstr($A55,CHAR(9),COLUMNS($D:E)-1)</f>
        <v/>
      </c>
      <c r="F55" s="9" t="str">
        <f>[1]!splitstr($A55,CHAR(9),COLUMNS($D:F)-1)</f>
        <v/>
      </c>
      <c r="G55" s="9" t="str">
        <f>[1]!splitstr($A55,CHAR(9),COLUMNS($D:G)-1)</f>
        <v/>
      </c>
      <c r="H55" s="9" t="str">
        <f>[1]!splitstr($A55,CHAR(9),COLUMNS($D:H)-1)</f>
        <v/>
      </c>
      <c r="I55" s="26" t="str">
        <f>[1]!splitstr($A55,CHAR(9),COLUMNS($D:I)-1)</f>
        <v/>
      </c>
      <c r="J55" s="26" t="str">
        <f>[1]!splitstr($A55,CHAR(9),COLUMNS($D:J)-1)</f>
        <v/>
      </c>
      <c r="K55" s="26" t="str">
        <f>[1]!splitstr($A55,CHAR(9),COLUMNS($D:K)-1)</f>
        <v/>
      </c>
    </row>
    <row r="56" spans="1:11" s="2" customFormat="1" ht="12" customHeight="1" x14ac:dyDescent="0.4">
      <c r="A56" s="20"/>
      <c r="B56" s="7" t="s">
        <v>9</v>
      </c>
      <c r="C56" s="9" t="str">
        <f t="shared" ca="1" si="0"/>
        <v/>
      </c>
      <c r="D56" s="9" t="str">
        <f>[1]!splitstr($A56,CHAR(9),COLUMNS($D:D)-1)</f>
        <v/>
      </c>
      <c r="E56" s="9" t="str">
        <f>[1]!splitstr($A56,CHAR(9),COLUMNS($D:E)-1)</f>
        <v/>
      </c>
      <c r="F56" s="9" t="str">
        <f>[1]!splitstr($A56,CHAR(9),COLUMNS($D:F)-1)</f>
        <v/>
      </c>
      <c r="G56" s="9" t="str">
        <f>[1]!splitstr($A56,CHAR(9),COLUMNS($D:G)-1)</f>
        <v/>
      </c>
      <c r="H56" s="9" t="str">
        <f>[1]!splitstr($A56,CHAR(9),COLUMNS($D:H)-1)</f>
        <v/>
      </c>
      <c r="I56" s="26" t="str">
        <f>[1]!splitstr($A56,CHAR(9),COLUMNS($D:I)-1)</f>
        <v/>
      </c>
      <c r="J56" s="26" t="str">
        <f>[1]!splitstr($A56,CHAR(9),COLUMNS($D:J)-1)</f>
        <v/>
      </c>
      <c r="K56" s="26" t="str">
        <f>[1]!splitstr($A56,CHAR(9),COLUMNS($D:K)-1)</f>
        <v/>
      </c>
    </row>
    <row r="57" spans="1:11" s="2" customFormat="1" ht="12" customHeight="1" x14ac:dyDescent="0.4">
      <c r="A57" s="20"/>
      <c r="B57" s="7" t="s">
        <v>9</v>
      </c>
      <c r="C57" s="9" t="str">
        <f t="shared" ca="1" si="0"/>
        <v/>
      </c>
      <c r="D57" s="9" t="str">
        <f>[1]!splitstr($A57,CHAR(9),COLUMNS($D:D)-1)</f>
        <v/>
      </c>
      <c r="E57" s="9" t="str">
        <f>[1]!splitstr($A57,CHAR(9),COLUMNS($D:E)-1)</f>
        <v/>
      </c>
      <c r="F57" s="9" t="str">
        <f>[1]!splitstr($A57,CHAR(9),COLUMNS($D:F)-1)</f>
        <v/>
      </c>
      <c r="G57" s="9" t="str">
        <f>[1]!splitstr($A57,CHAR(9),COLUMNS($D:G)-1)</f>
        <v/>
      </c>
      <c r="H57" s="9" t="str">
        <f>[1]!splitstr($A57,CHAR(9),COLUMNS($D:H)-1)</f>
        <v/>
      </c>
      <c r="I57" s="26" t="str">
        <f>[1]!splitstr($A57,CHAR(9),COLUMNS($D:I)-1)</f>
        <v/>
      </c>
      <c r="J57" s="26" t="str">
        <f>[1]!splitstr($A57,CHAR(9),COLUMNS($D:J)-1)</f>
        <v/>
      </c>
      <c r="K57" s="26" t="str">
        <f>[1]!splitstr($A57,CHAR(9),COLUMNS($D:K)-1)</f>
        <v/>
      </c>
    </row>
    <row r="58" spans="1:11" s="2" customFormat="1" ht="12" customHeight="1" x14ac:dyDescent="0.4">
      <c r="A58" s="20"/>
      <c r="B58" s="7" t="s">
        <v>9</v>
      </c>
      <c r="C58" s="9" t="str">
        <f t="shared" ca="1" si="0"/>
        <v/>
      </c>
      <c r="D58" s="9" t="str">
        <f>[1]!splitstr($A58,CHAR(9),COLUMNS($D:D)-1)</f>
        <v/>
      </c>
      <c r="E58" s="9" t="str">
        <f>[1]!splitstr($A58,CHAR(9),COLUMNS($D:E)-1)</f>
        <v/>
      </c>
      <c r="F58" s="9" t="str">
        <f>[1]!splitstr($A58,CHAR(9),COLUMNS($D:F)-1)</f>
        <v/>
      </c>
      <c r="G58" s="9" t="str">
        <f>[1]!splitstr($A58,CHAR(9),COLUMNS($D:G)-1)</f>
        <v/>
      </c>
      <c r="H58" s="9" t="str">
        <f>[1]!splitstr($A58,CHAR(9),COLUMNS($D:H)-1)</f>
        <v/>
      </c>
      <c r="I58" s="26" t="str">
        <f>[1]!splitstr($A58,CHAR(9),COLUMNS($D:I)-1)</f>
        <v/>
      </c>
      <c r="J58" s="26" t="str">
        <f>[1]!splitstr($A58,CHAR(9),COLUMNS($D:J)-1)</f>
        <v/>
      </c>
      <c r="K58" s="26" t="str">
        <f>[1]!splitstr($A58,CHAR(9),COLUMNS($D:K)-1)</f>
        <v/>
      </c>
    </row>
    <row r="59" spans="1:11" s="2" customFormat="1" ht="12" customHeight="1" x14ac:dyDescent="0.4">
      <c r="A59" s="20"/>
      <c r="B59" s="7" t="s">
        <v>9</v>
      </c>
      <c r="C59" s="9" t="str">
        <f t="shared" ca="1" si="0"/>
        <v/>
      </c>
      <c r="D59" s="9" t="str">
        <f>[1]!splitstr($A59,CHAR(9),COLUMNS($D:D)-1)</f>
        <v/>
      </c>
      <c r="E59" s="9" t="str">
        <f>[1]!splitstr($A59,CHAR(9),COLUMNS($D:E)-1)</f>
        <v/>
      </c>
      <c r="F59" s="9" t="str">
        <f>[1]!splitstr($A59,CHAR(9),COLUMNS($D:F)-1)</f>
        <v/>
      </c>
      <c r="G59" s="9" t="str">
        <f>[1]!splitstr($A59,CHAR(9),COLUMNS($D:G)-1)</f>
        <v/>
      </c>
      <c r="H59" s="9" t="str">
        <f>[1]!splitstr($A59,CHAR(9),COLUMNS($D:H)-1)</f>
        <v/>
      </c>
      <c r="I59" s="26" t="str">
        <f>[1]!splitstr($A59,CHAR(9),COLUMNS($D:I)-1)</f>
        <v/>
      </c>
      <c r="J59" s="26" t="str">
        <f>[1]!splitstr($A59,CHAR(9),COLUMNS($D:J)-1)</f>
        <v/>
      </c>
      <c r="K59" s="26" t="str">
        <f>[1]!splitstr($A59,CHAR(9),COLUMNS($D:K)-1)</f>
        <v/>
      </c>
    </row>
    <row r="60" spans="1:11" s="2" customFormat="1" ht="12" customHeight="1" x14ac:dyDescent="0.4">
      <c r="A60" s="20"/>
      <c r="B60" s="7" t="s">
        <v>9</v>
      </c>
      <c r="C60" s="9" t="str">
        <f t="shared" ca="1" si="0"/>
        <v/>
      </c>
      <c r="D60" s="9" t="str">
        <f>[1]!splitstr($A60,CHAR(9),COLUMNS($D:D)-1)</f>
        <v/>
      </c>
      <c r="E60" s="9" t="str">
        <f>[1]!splitstr($A60,CHAR(9),COLUMNS($D:E)-1)</f>
        <v/>
      </c>
      <c r="F60" s="9" t="str">
        <f>[1]!splitstr($A60,CHAR(9),COLUMNS($D:F)-1)</f>
        <v/>
      </c>
      <c r="G60" s="9" t="str">
        <f>[1]!splitstr($A60,CHAR(9),COLUMNS($D:G)-1)</f>
        <v/>
      </c>
      <c r="H60" s="9" t="str">
        <f>[1]!splitstr($A60,CHAR(9),COLUMNS($D:H)-1)</f>
        <v/>
      </c>
      <c r="I60" s="26" t="str">
        <f>[1]!splitstr($A60,CHAR(9),COLUMNS($D:I)-1)</f>
        <v/>
      </c>
      <c r="J60" s="26" t="str">
        <f>[1]!splitstr($A60,CHAR(9),COLUMNS($D:J)-1)</f>
        <v/>
      </c>
      <c r="K60" s="26" t="str">
        <f>[1]!splitstr($A60,CHAR(9),COLUMNS($D:K)-1)</f>
        <v/>
      </c>
    </row>
    <row r="61" spans="1:11" s="2" customFormat="1" ht="12" customHeight="1" x14ac:dyDescent="0.4">
      <c r="A61" s="20"/>
      <c r="B61" s="7" t="s">
        <v>9</v>
      </c>
      <c r="C61" s="9" t="str">
        <f t="shared" ca="1" si="0"/>
        <v/>
      </c>
      <c r="D61" s="9" t="str">
        <f>[1]!splitstr($A61,CHAR(9),COLUMNS($D:D)-1)</f>
        <v/>
      </c>
      <c r="E61" s="9" t="str">
        <f>[1]!splitstr($A61,CHAR(9),COLUMNS($D:E)-1)</f>
        <v/>
      </c>
      <c r="F61" s="9" t="str">
        <f>[1]!splitstr($A61,CHAR(9),COLUMNS($D:F)-1)</f>
        <v/>
      </c>
      <c r="G61" s="9" t="str">
        <f>[1]!splitstr($A61,CHAR(9),COLUMNS($D:G)-1)</f>
        <v/>
      </c>
      <c r="H61" s="9" t="str">
        <f>[1]!splitstr($A61,CHAR(9),COLUMNS($D:H)-1)</f>
        <v/>
      </c>
      <c r="I61" s="26" t="str">
        <f>[1]!splitstr($A61,CHAR(9),COLUMNS($D:I)-1)</f>
        <v/>
      </c>
      <c r="J61" s="26" t="str">
        <f>[1]!splitstr($A61,CHAR(9),COLUMNS($D:J)-1)</f>
        <v/>
      </c>
      <c r="K61" s="26" t="str">
        <f>[1]!splitstr($A61,CHAR(9),COLUMNS($D:K)-1)</f>
        <v/>
      </c>
    </row>
    <row r="62" spans="1:11" s="2" customFormat="1" ht="12" customHeight="1" x14ac:dyDescent="0.4">
      <c r="A62" s="20"/>
      <c r="B62" s="7" t="s">
        <v>9</v>
      </c>
      <c r="C62" s="9" t="str">
        <f t="shared" ca="1" si="0"/>
        <v/>
      </c>
      <c r="D62" s="9" t="str">
        <f>[1]!splitstr($A62,CHAR(9),COLUMNS($D:D)-1)</f>
        <v/>
      </c>
      <c r="E62" s="9" t="str">
        <f>[1]!splitstr($A62,CHAR(9),COLUMNS($D:E)-1)</f>
        <v/>
      </c>
      <c r="F62" s="9" t="str">
        <f>[1]!splitstr($A62,CHAR(9),COLUMNS($D:F)-1)</f>
        <v/>
      </c>
      <c r="G62" s="9" t="str">
        <f>[1]!splitstr($A62,CHAR(9),COLUMNS($D:G)-1)</f>
        <v/>
      </c>
      <c r="H62" s="9" t="str">
        <f>[1]!splitstr($A62,CHAR(9),COLUMNS($D:H)-1)</f>
        <v/>
      </c>
      <c r="I62" s="26" t="str">
        <f>[1]!splitstr($A62,CHAR(9),COLUMNS($D:I)-1)</f>
        <v/>
      </c>
      <c r="J62" s="26" t="str">
        <f>[1]!splitstr($A62,CHAR(9),COLUMNS($D:J)-1)</f>
        <v/>
      </c>
      <c r="K62" s="26" t="str">
        <f>[1]!splitstr($A62,CHAR(9),COLUMNS($D:K)-1)</f>
        <v/>
      </c>
    </row>
    <row r="63" spans="1:11" s="2" customFormat="1" ht="12" customHeight="1" x14ac:dyDescent="0.4">
      <c r="A63" s="20"/>
      <c r="B63" s="7" t="s">
        <v>9</v>
      </c>
      <c r="C63" s="9" t="str">
        <f t="shared" ca="1" si="0"/>
        <v/>
      </c>
      <c r="D63" s="9" t="str">
        <f>[1]!splitstr($A63,CHAR(9),COLUMNS($D:D)-1)</f>
        <v/>
      </c>
      <c r="E63" s="9" t="str">
        <f>[1]!splitstr($A63,CHAR(9),COLUMNS($D:E)-1)</f>
        <v/>
      </c>
      <c r="F63" s="9" t="str">
        <f>[1]!splitstr($A63,CHAR(9),COLUMNS($D:F)-1)</f>
        <v/>
      </c>
      <c r="G63" s="9" t="str">
        <f>[1]!splitstr($A63,CHAR(9),COLUMNS($D:G)-1)</f>
        <v/>
      </c>
      <c r="H63" s="9" t="str">
        <f>[1]!splitstr($A63,CHAR(9),COLUMNS($D:H)-1)</f>
        <v/>
      </c>
      <c r="I63" s="26" t="str">
        <f>[1]!splitstr($A63,CHAR(9),COLUMNS($D:I)-1)</f>
        <v/>
      </c>
      <c r="J63" s="26" t="str">
        <f>[1]!splitstr($A63,CHAR(9),COLUMNS($D:J)-1)</f>
        <v/>
      </c>
      <c r="K63" s="26" t="str">
        <f>[1]!splitstr($A63,CHAR(9),COLUMNS($D:K)-1)</f>
        <v/>
      </c>
    </row>
    <row r="64" spans="1:11" s="2" customFormat="1" ht="12" customHeight="1" x14ac:dyDescent="0.4">
      <c r="A64" s="20"/>
      <c r="B64" s="7" t="s">
        <v>9</v>
      </c>
      <c r="C64" s="9" t="str">
        <f t="shared" ca="1" si="0"/>
        <v/>
      </c>
      <c r="D64" s="9" t="str">
        <f>[1]!splitstr($A64,CHAR(9),COLUMNS($D:D)-1)</f>
        <v/>
      </c>
      <c r="E64" s="9" t="str">
        <f>[1]!splitstr($A64,CHAR(9),COLUMNS($D:E)-1)</f>
        <v/>
      </c>
      <c r="F64" s="9" t="str">
        <f>[1]!splitstr($A64,CHAR(9),COLUMNS($D:F)-1)</f>
        <v/>
      </c>
      <c r="G64" s="9" t="str">
        <f>[1]!splitstr($A64,CHAR(9),COLUMNS($D:G)-1)</f>
        <v/>
      </c>
      <c r="H64" s="9" t="str">
        <f>[1]!splitstr($A64,CHAR(9),COLUMNS($D:H)-1)</f>
        <v/>
      </c>
      <c r="I64" s="26" t="str">
        <f>[1]!splitstr($A64,CHAR(9),COLUMNS($D:I)-1)</f>
        <v/>
      </c>
      <c r="J64" s="26" t="str">
        <f>[1]!splitstr($A64,CHAR(9),COLUMNS($D:J)-1)</f>
        <v/>
      </c>
      <c r="K64" s="26" t="str">
        <f>[1]!splitstr($A64,CHAR(9),COLUMNS($D:K)-1)</f>
        <v/>
      </c>
    </row>
    <row r="65" spans="1:11" s="2" customFormat="1" ht="12" customHeight="1" x14ac:dyDescent="0.4">
      <c r="A65" s="20"/>
      <c r="B65" s="7" t="s">
        <v>9</v>
      </c>
      <c r="C65" s="9" t="str">
        <f t="shared" ca="1" si="0"/>
        <v/>
      </c>
      <c r="D65" s="9" t="str">
        <f>[1]!splitstr($A65,CHAR(9),COLUMNS($D:D)-1)</f>
        <v/>
      </c>
      <c r="E65" s="9" t="str">
        <f>[1]!splitstr($A65,CHAR(9),COLUMNS($D:E)-1)</f>
        <v/>
      </c>
      <c r="F65" s="9" t="str">
        <f>[1]!splitstr($A65,CHAR(9),COLUMNS($D:F)-1)</f>
        <v/>
      </c>
      <c r="G65" s="9" t="str">
        <f>[1]!splitstr($A65,CHAR(9),COLUMNS($D:G)-1)</f>
        <v/>
      </c>
      <c r="H65" s="9" t="str">
        <f>[1]!splitstr($A65,CHAR(9),COLUMNS($D:H)-1)</f>
        <v/>
      </c>
      <c r="I65" s="26" t="str">
        <f>[1]!splitstr($A65,CHAR(9),COLUMNS($D:I)-1)</f>
        <v/>
      </c>
      <c r="J65" s="26" t="str">
        <f>[1]!splitstr($A65,CHAR(9),COLUMNS($D:J)-1)</f>
        <v/>
      </c>
      <c r="K65" s="26" t="str">
        <f>[1]!splitstr($A65,CHAR(9),COLUMNS($D:K)-1)</f>
        <v/>
      </c>
    </row>
    <row r="66" spans="1:11" s="2" customFormat="1" ht="12" customHeight="1" x14ac:dyDescent="0.4">
      <c r="A66" s="20"/>
      <c r="B66" s="7" t="s">
        <v>9</v>
      </c>
      <c r="C66" s="9" t="str">
        <f t="shared" ref="C66:C129" ca="1" si="1">IF(
    OR(
        $A66="",
        OFFSET($A66,-1,0)=""
    ),
    "",
    IF(
        OFFSET($A66,-1,0)=$A$1,
        1,
        OFFSET($C66,-1,0)+1
    )
)</f>
        <v/>
      </c>
      <c r="D66" s="9" t="str">
        <f>[1]!splitstr($A66,CHAR(9),COLUMNS($D:D)-1)</f>
        <v/>
      </c>
      <c r="E66" s="9" t="str">
        <f>[1]!splitstr($A66,CHAR(9),COLUMNS($D:E)-1)</f>
        <v/>
      </c>
      <c r="F66" s="9" t="str">
        <f>[1]!splitstr($A66,CHAR(9),COLUMNS($D:F)-1)</f>
        <v/>
      </c>
      <c r="G66" s="9" t="str">
        <f>[1]!splitstr($A66,CHAR(9),COLUMNS($D:G)-1)</f>
        <v/>
      </c>
      <c r="H66" s="9" t="str">
        <f>[1]!splitstr($A66,CHAR(9),COLUMNS($D:H)-1)</f>
        <v/>
      </c>
      <c r="I66" s="26" t="str">
        <f>[1]!splitstr($A66,CHAR(9),COLUMNS($D:I)-1)</f>
        <v/>
      </c>
      <c r="J66" s="26" t="str">
        <f>[1]!splitstr($A66,CHAR(9),COLUMNS($D:J)-1)</f>
        <v/>
      </c>
      <c r="K66" s="26" t="str">
        <f>[1]!splitstr($A66,CHAR(9),COLUMNS($D:K)-1)</f>
        <v/>
      </c>
    </row>
    <row r="67" spans="1:11" s="2" customFormat="1" ht="12" customHeight="1" x14ac:dyDescent="0.4">
      <c r="A67" s="20"/>
      <c r="B67" s="7" t="s">
        <v>9</v>
      </c>
      <c r="C67" s="9" t="str">
        <f t="shared" ca="1" si="1"/>
        <v/>
      </c>
      <c r="D67" s="9" t="str">
        <f>[1]!splitstr($A67,CHAR(9),COLUMNS($D:D)-1)</f>
        <v/>
      </c>
      <c r="E67" s="9" t="str">
        <f>[1]!splitstr($A67,CHAR(9),COLUMNS($D:E)-1)</f>
        <v/>
      </c>
      <c r="F67" s="9" t="str">
        <f>[1]!splitstr($A67,CHAR(9),COLUMNS($D:F)-1)</f>
        <v/>
      </c>
      <c r="G67" s="9" t="str">
        <f>[1]!splitstr($A67,CHAR(9),COLUMNS($D:G)-1)</f>
        <v/>
      </c>
      <c r="H67" s="9" t="str">
        <f>[1]!splitstr($A67,CHAR(9),COLUMNS($D:H)-1)</f>
        <v/>
      </c>
      <c r="I67" s="26" t="str">
        <f>[1]!splitstr($A67,CHAR(9),COLUMNS($D:I)-1)</f>
        <v/>
      </c>
      <c r="J67" s="26" t="str">
        <f>[1]!splitstr($A67,CHAR(9),COLUMNS($D:J)-1)</f>
        <v/>
      </c>
      <c r="K67" s="26" t="str">
        <f>[1]!splitstr($A67,CHAR(9),COLUMNS($D:K)-1)</f>
        <v/>
      </c>
    </row>
    <row r="68" spans="1:11" s="2" customFormat="1" ht="12" customHeight="1" x14ac:dyDescent="0.4">
      <c r="A68" s="20"/>
      <c r="B68" s="7" t="s">
        <v>9</v>
      </c>
      <c r="C68" s="9" t="str">
        <f t="shared" ca="1" si="1"/>
        <v/>
      </c>
      <c r="D68" s="9" t="str">
        <f>[1]!splitstr($A68,CHAR(9),COLUMNS($D:D)-1)</f>
        <v/>
      </c>
      <c r="E68" s="9" t="str">
        <f>[1]!splitstr($A68,CHAR(9),COLUMNS($D:E)-1)</f>
        <v/>
      </c>
      <c r="F68" s="9" t="str">
        <f>[1]!splitstr($A68,CHAR(9),COLUMNS($D:F)-1)</f>
        <v/>
      </c>
      <c r="G68" s="9" t="str">
        <f>[1]!splitstr($A68,CHAR(9),COLUMNS($D:G)-1)</f>
        <v/>
      </c>
      <c r="H68" s="9" t="str">
        <f>[1]!splitstr($A68,CHAR(9),COLUMNS($D:H)-1)</f>
        <v/>
      </c>
      <c r="I68" s="26" t="str">
        <f>[1]!splitstr($A68,CHAR(9),COLUMNS($D:I)-1)</f>
        <v/>
      </c>
      <c r="J68" s="26" t="str">
        <f>[1]!splitstr($A68,CHAR(9),COLUMNS($D:J)-1)</f>
        <v/>
      </c>
      <c r="K68" s="26" t="str">
        <f>[1]!splitstr($A68,CHAR(9),COLUMNS($D:K)-1)</f>
        <v/>
      </c>
    </row>
    <row r="69" spans="1:11" s="2" customFormat="1" ht="12" customHeight="1" x14ac:dyDescent="0.4">
      <c r="A69" s="20"/>
      <c r="B69" s="7" t="s">
        <v>9</v>
      </c>
      <c r="C69" s="9" t="str">
        <f t="shared" ca="1" si="1"/>
        <v/>
      </c>
      <c r="D69" s="9" t="str">
        <f>[1]!splitstr($A69,CHAR(9),COLUMNS($D:D)-1)</f>
        <v/>
      </c>
      <c r="E69" s="9" t="str">
        <f>[1]!splitstr($A69,CHAR(9),COLUMNS($D:E)-1)</f>
        <v/>
      </c>
      <c r="F69" s="9" t="str">
        <f>[1]!splitstr($A69,CHAR(9),COLUMNS($D:F)-1)</f>
        <v/>
      </c>
      <c r="G69" s="9" t="str">
        <f>[1]!splitstr($A69,CHAR(9),COLUMNS($D:G)-1)</f>
        <v/>
      </c>
      <c r="H69" s="9" t="str">
        <f>[1]!splitstr($A69,CHAR(9),COLUMNS($D:H)-1)</f>
        <v/>
      </c>
      <c r="I69" s="26" t="str">
        <f>[1]!splitstr($A69,CHAR(9),COLUMNS($D:I)-1)</f>
        <v/>
      </c>
      <c r="J69" s="26" t="str">
        <f>[1]!splitstr($A69,CHAR(9),COLUMNS($D:J)-1)</f>
        <v/>
      </c>
      <c r="K69" s="26" t="str">
        <f>[1]!splitstr($A69,CHAR(9),COLUMNS($D:K)-1)</f>
        <v/>
      </c>
    </row>
    <row r="70" spans="1:11" s="2" customFormat="1" ht="12" customHeight="1" x14ac:dyDescent="0.4">
      <c r="A70" s="20"/>
      <c r="B70" s="7" t="s">
        <v>9</v>
      </c>
      <c r="C70" s="9" t="str">
        <f t="shared" ca="1" si="1"/>
        <v/>
      </c>
      <c r="D70" s="9" t="str">
        <f>[1]!splitstr($A70,CHAR(9),COLUMNS($D:D)-1)</f>
        <v/>
      </c>
      <c r="E70" s="9" t="str">
        <f>[1]!splitstr($A70,CHAR(9),COLUMNS($D:E)-1)</f>
        <v/>
      </c>
      <c r="F70" s="9" t="str">
        <f>[1]!splitstr($A70,CHAR(9),COLUMNS($D:F)-1)</f>
        <v/>
      </c>
      <c r="G70" s="9" t="str">
        <f>[1]!splitstr($A70,CHAR(9),COLUMNS($D:G)-1)</f>
        <v/>
      </c>
      <c r="H70" s="9" t="str">
        <f>[1]!splitstr($A70,CHAR(9),COLUMNS($D:H)-1)</f>
        <v/>
      </c>
      <c r="I70" s="26" t="str">
        <f>[1]!splitstr($A70,CHAR(9),COLUMNS($D:I)-1)</f>
        <v/>
      </c>
      <c r="J70" s="26" t="str">
        <f>[1]!splitstr($A70,CHAR(9),COLUMNS($D:J)-1)</f>
        <v/>
      </c>
      <c r="K70" s="26" t="str">
        <f>[1]!splitstr($A70,CHAR(9),COLUMNS($D:K)-1)</f>
        <v/>
      </c>
    </row>
    <row r="71" spans="1:11" s="2" customFormat="1" ht="12" customHeight="1" x14ac:dyDescent="0.4">
      <c r="A71" s="20"/>
      <c r="B71" s="7" t="s">
        <v>9</v>
      </c>
      <c r="C71" s="9" t="str">
        <f t="shared" ca="1" si="1"/>
        <v/>
      </c>
      <c r="D71" s="9" t="str">
        <f>[1]!splitstr($A71,CHAR(9),COLUMNS($D:D)-1)</f>
        <v/>
      </c>
      <c r="E71" s="9" t="str">
        <f>[1]!splitstr($A71,CHAR(9),COLUMNS($D:E)-1)</f>
        <v/>
      </c>
      <c r="F71" s="9" t="str">
        <f>[1]!splitstr($A71,CHAR(9),COLUMNS($D:F)-1)</f>
        <v/>
      </c>
      <c r="G71" s="9" t="str">
        <f>[1]!splitstr($A71,CHAR(9),COLUMNS($D:G)-1)</f>
        <v/>
      </c>
      <c r="H71" s="9" t="str">
        <f>[1]!splitstr($A71,CHAR(9),COLUMNS($D:H)-1)</f>
        <v/>
      </c>
      <c r="I71" s="26" t="str">
        <f>[1]!splitstr($A71,CHAR(9),COLUMNS($D:I)-1)</f>
        <v/>
      </c>
      <c r="J71" s="26" t="str">
        <f>[1]!splitstr($A71,CHAR(9),COLUMNS($D:J)-1)</f>
        <v/>
      </c>
      <c r="K71" s="26" t="str">
        <f>[1]!splitstr($A71,CHAR(9),COLUMNS($D:K)-1)</f>
        <v/>
      </c>
    </row>
    <row r="72" spans="1:11" s="2" customFormat="1" ht="12" customHeight="1" x14ac:dyDescent="0.4">
      <c r="A72" s="20"/>
      <c r="B72" s="7" t="s">
        <v>9</v>
      </c>
      <c r="C72" s="9" t="str">
        <f t="shared" ca="1" si="1"/>
        <v/>
      </c>
      <c r="D72" s="9" t="str">
        <f>[1]!splitstr($A72,CHAR(9),COLUMNS($D:D)-1)</f>
        <v/>
      </c>
      <c r="E72" s="9" t="str">
        <f>[1]!splitstr($A72,CHAR(9),COLUMNS($D:E)-1)</f>
        <v/>
      </c>
      <c r="F72" s="9" t="str">
        <f>[1]!splitstr($A72,CHAR(9),COLUMNS($D:F)-1)</f>
        <v/>
      </c>
      <c r="G72" s="9" t="str">
        <f>[1]!splitstr($A72,CHAR(9),COLUMNS($D:G)-1)</f>
        <v/>
      </c>
      <c r="H72" s="9" t="str">
        <f>[1]!splitstr($A72,CHAR(9),COLUMNS($D:H)-1)</f>
        <v/>
      </c>
      <c r="I72" s="26" t="str">
        <f>[1]!splitstr($A72,CHAR(9),COLUMNS($D:I)-1)</f>
        <v/>
      </c>
      <c r="J72" s="26" t="str">
        <f>[1]!splitstr($A72,CHAR(9),COLUMNS($D:J)-1)</f>
        <v/>
      </c>
      <c r="K72" s="26" t="str">
        <f>[1]!splitstr($A72,CHAR(9),COLUMNS($D:K)-1)</f>
        <v/>
      </c>
    </row>
    <row r="73" spans="1:11" s="2" customFormat="1" ht="12" customHeight="1" x14ac:dyDescent="0.4">
      <c r="A73" s="20"/>
      <c r="B73" s="7" t="s">
        <v>9</v>
      </c>
      <c r="C73" s="9" t="str">
        <f t="shared" ca="1" si="1"/>
        <v/>
      </c>
      <c r="D73" s="9" t="str">
        <f>[1]!splitstr($A73,CHAR(9),COLUMNS($D:D)-1)</f>
        <v/>
      </c>
      <c r="E73" s="9" t="str">
        <f>[1]!splitstr($A73,CHAR(9),COLUMNS($D:E)-1)</f>
        <v/>
      </c>
      <c r="F73" s="9" t="str">
        <f>[1]!splitstr($A73,CHAR(9),COLUMNS($D:F)-1)</f>
        <v/>
      </c>
      <c r="G73" s="9" t="str">
        <f>[1]!splitstr($A73,CHAR(9),COLUMNS($D:G)-1)</f>
        <v/>
      </c>
      <c r="H73" s="9" t="str">
        <f>[1]!splitstr($A73,CHAR(9),COLUMNS($D:H)-1)</f>
        <v/>
      </c>
      <c r="I73" s="26" t="str">
        <f>[1]!splitstr($A73,CHAR(9),COLUMNS($D:I)-1)</f>
        <v/>
      </c>
      <c r="J73" s="26" t="str">
        <f>[1]!splitstr($A73,CHAR(9),COLUMNS($D:J)-1)</f>
        <v/>
      </c>
      <c r="K73" s="26" t="str">
        <f>[1]!splitstr($A73,CHAR(9),COLUMNS($D:K)-1)</f>
        <v/>
      </c>
    </row>
    <row r="74" spans="1:11" s="2" customFormat="1" ht="12" customHeight="1" x14ac:dyDescent="0.4">
      <c r="A74" s="20"/>
      <c r="B74" s="7" t="s">
        <v>9</v>
      </c>
      <c r="C74" s="9" t="str">
        <f t="shared" ca="1" si="1"/>
        <v/>
      </c>
      <c r="D74" s="9" t="str">
        <f>[1]!splitstr($A74,CHAR(9),COLUMNS($D:D)-1)</f>
        <v/>
      </c>
      <c r="E74" s="9" t="str">
        <f>[1]!splitstr($A74,CHAR(9),COLUMNS($D:E)-1)</f>
        <v/>
      </c>
      <c r="F74" s="9" t="str">
        <f>[1]!splitstr($A74,CHAR(9),COLUMNS($D:F)-1)</f>
        <v/>
      </c>
      <c r="G74" s="9" t="str">
        <f>[1]!splitstr($A74,CHAR(9),COLUMNS($D:G)-1)</f>
        <v/>
      </c>
      <c r="H74" s="9" t="str">
        <f>[1]!splitstr($A74,CHAR(9),COLUMNS($D:H)-1)</f>
        <v/>
      </c>
      <c r="I74" s="26" t="str">
        <f>[1]!splitstr($A74,CHAR(9),COLUMNS($D:I)-1)</f>
        <v/>
      </c>
      <c r="J74" s="26" t="str">
        <f>[1]!splitstr($A74,CHAR(9),COLUMNS($D:J)-1)</f>
        <v/>
      </c>
      <c r="K74" s="26" t="str">
        <f>[1]!splitstr($A74,CHAR(9),COLUMNS($D:K)-1)</f>
        <v/>
      </c>
    </row>
    <row r="75" spans="1:11" s="2" customFormat="1" ht="12" customHeight="1" x14ac:dyDescent="0.4">
      <c r="A75" s="20"/>
      <c r="B75" s="7" t="s">
        <v>9</v>
      </c>
      <c r="C75" s="9" t="str">
        <f t="shared" ca="1" si="1"/>
        <v/>
      </c>
      <c r="D75" s="9" t="str">
        <f>[1]!splitstr($A75,CHAR(9),COLUMNS($D:D)-1)</f>
        <v/>
      </c>
      <c r="E75" s="9" t="str">
        <f>[1]!splitstr($A75,CHAR(9),COLUMNS($D:E)-1)</f>
        <v/>
      </c>
      <c r="F75" s="9" t="str">
        <f>[1]!splitstr($A75,CHAR(9),COLUMNS($D:F)-1)</f>
        <v/>
      </c>
      <c r="G75" s="9" t="str">
        <f>[1]!splitstr($A75,CHAR(9),COLUMNS($D:G)-1)</f>
        <v/>
      </c>
      <c r="H75" s="9" t="str">
        <f>[1]!splitstr($A75,CHAR(9),COLUMNS($D:H)-1)</f>
        <v/>
      </c>
      <c r="I75" s="26" t="str">
        <f>[1]!splitstr($A75,CHAR(9),COLUMNS($D:I)-1)</f>
        <v/>
      </c>
      <c r="J75" s="26" t="str">
        <f>[1]!splitstr($A75,CHAR(9),COLUMNS($D:J)-1)</f>
        <v/>
      </c>
      <c r="K75" s="26" t="str">
        <f>[1]!splitstr($A75,CHAR(9),COLUMNS($D:K)-1)</f>
        <v/>
      </c>
    </row>
    <row r="76" spans="1:11" s="2" customFormat="1" ht="12" customHeight="1" x14ac:dyDescent="0.4">
      <c r="A76" s="20"/>
      <c r="B76" s="7" t="s">
        <v>9</v>
      </c>
      <c r="C76" s="9" t="str">
        <f t="shared" ca="1" si="1"/>
        <v/>
      </c>
      <c r="D76" s="9" t="str">
        <f>[1]!splitstr($A76,CHAR(9),COLUMNS($D:D)-1)</f>
        <v/>
      </c>
      <c r="E76" s="9" t="str">
        <f>[1]!splitstr($A76,CHAR(9),COLUMNS($D:E)-1)</f>
        <v/>
      </c>
      <c r="F76" s="9" t="str">
        <f>[1]!splitstr($A76,CHAR(9),COLUMNS($D:F)-1)</f>
        <v/>
      </c>
      <c r="G76" s="9" t="str">
        <f>[1]!splitstr($A76,CHAR(9),COLUMNS($D:G)-1)</f>
        <v/>
      </c>
      <c r="H76" s="9" t="str">
        <f>[1]!splitstr($A76,CHAR(9),COLUMNS($D:H)-1)</f>
        <v/>
      </c>
      <c r="I76" s="26" t="str">
        <f>[1]!splitstr($A76,CHAR(9),COLUMNS($D:I)-1)</f>
        <v/>
      </c>
      <c r="J76" s="26" t="str">
        <f>[1]!splitstr($A76,CHAR(9),COLUMNS($D:J)-1)</f>
        <v/>
      </c>
      <c r="K76" s="26" t="str">
        <f>[1]!splitstr($A76,CHAR(9),COLUMNS($D:K)-1)</f>
        <v/>
      </c>
    </row>
    <row r="77" spans="1:11" s="2" customFormat="1" ht="12" customHeight="1" x14ac:dyDescent="0.4">
      <c r="A77" s="20"/>
      <c r="B77" s="7" t="s">
        <v>9</v>
      </c>
      <c r="C77" s="9" t="str">
        <f t="shared" ca="1" si="1"/>
        <v/>
      </c>
      <c r="D77" s="9" t="str">
        <f>[1]!splitstr($A77,CHAR(9),COLUMNS($D:D)-1)</f>
        <v/>
      </c>
      <c r="E77" s="9" t="str">
        <f>[1]!splitstr($A77,CHAR(9),COLUMNS($D:E)-1)</f>
        <v/>
      </c>
      <c r="F77" s="9" t="str">
        <f>[1]!splitstr($A77,CHAR(9),COLUMNS($D:F)-1)</f>
        <v/>
      </c>
      <c r="G77" s="9" t="str">
        <f>[1]!splitstr($A77,CHAR(9),COLUMNS($D:G)-1)</f>
        <v/>
      </c>
      <c r="H77" s="9" t="str">
        <f>[1]!splitstr($A77,CHAR(9),COLUMNS($D:H)-1)</f>
        <v/>
      </c>
      <c r="I77" s="26" t="str">
        <f>[1]!splitstr($A77,CHAR(9),COLUMNS($D:I)-1)</f>
        <v/>
      </c>
      <c r="J77" s="26" t="str">
        <f>[1]!splitstr($A77,CHAR(9),COLUMNS($D:J)-1)</f>
        <v/>
      </c>
      <c r="K77" s="26" t="str">
        <f>[1]!splitstr($A77,CHAR(9),COLUMNS($D:K)-1)</f>
        <v/>
      </c>
    </row>
    <row r="78" spans="1:11" s="2" customFormat="1" ht="12" customHeight="1" x14ac:dyDescent="0.4">
      <c r="A78" s="20"/>
      <c r="B78" s="7" t="s">
        <v>9</v>
      </c>
      <c r="C78" s="9" t="str">
        <f t="shared" ca="1" si="1"/>
        <v/>
      </c>
      <c r="D78" s="9" t="str">
        <f>[1]!splitstr($A78,CHAR(9),COLUMNS($D:D)-1)</f>
        <v/>
      </c>
      <c r="E78" s="9" t="str">
        <f>[1]!splitstr($A78,CHAR(9),COLUMNS($D:E)-1)</f>
        <v/>
      </c>
      <c r="F78" s="9" t="str">
        <f>[1]!splitstr($A78,CHAR(9),COLUMNS($D:F)-1)</f>
        <v/>
      </c>
      <c r="G78" s="9" t="str">
        <f>[1]!splitstr($A78,CHAR(9),COLUMNS($D:G)-1)</f>
        <v/>
      </c>
      <c r="H78" s="9" t="str">
        <f>[1]!splitstr($A78,CHAR(9),COLUMNS($D:H)-1)</f>
        <v/>
      </c>
      <c r="I78" s="26" t="str">
        <f>[1]!splitstr($A78,CHAR(9),COLUMNS($D:I)-1)</f>
        <v/>
      </c>
      <c r="J78" s="26" t="str">
        <f>[1]!splitstr($A78,CHAR(9),COLUMNS($D:J)-1)</f>
        <v/>
      </c>
      <c r="K78" s="26" t="str">
        <f>[1]!splitstr($A78,CHAR(9),COLUMNS($D:K)-1)</f>
        <v/>
      </c>
    </row>
    <row r="79" spans="1:11" s="2" customFormat="1" ht="12" customHeight="1" x14ac:dyDescent="0.4">
      <c r="A79" s="20"/>
      <c r="B79" s="7" t="s">
        <v>9</v>
      </c>
      <c r="C79" s="9" t="str">
        <f t="shared" ca="1" si="1"/>
        <v/>
      </c>
      <c r="D79" s="9" t="str">
        <f>[1]!splitstr($A79,CHAR(9),COLUMNS($D:D)-1)</f>
        <v/>
      </c>
      <c r="E79" s="9" t="str">
        <f>[1]!splitstr($A79,CHAR(9),COLUMNS($D:E)-1)</f>
        <v/>
      </c>
      <c r="F79" s="9" t="str">
        <f>[1]!splitstr($A79,CHAR(9),COLUMNS($D:F)-1)</f>
        <v/>
      </c>
      <c r="G79" s="9" t="str">
        <f>[1]!splitstr($A79,CHAR(9),COLUMNS($D:G)-1)</f>
        <v/>
      </c>
      <c r="H79" s="9" t="str">
        <f>[1]!splitstr($A79,CHAR(9),COLUMNS($D:H)-1)</f>
        <v/>
      </c>
      <c r="I79" s="26" t="str">
        <f>[1]!splitstr($A79,CHAR(9),COLUMNS($D:I)-1)</f>
        <v/>
      </c>
      <c r="J79" s="26" t="str">
        <f>[1]!splitstr($A79,CHAR(9),COLUMNS($D:J)-1)</f>
        <v/>
      </c>
      <c r="K79" s="26" t="str">
        <f>[1]!splitstr($A79,CHAR(9),COLUMNS($D:K)-1)</f>
        <v/>
      </c>
    </row>
    <row r="80" spans="1:11" s="2" customFormat="1" ht="12" customHeight="1" x14ac:dyDescent="0.4">
      <c r="A80" s="20"/>
      <c r="B80" s="7" t="s">
        <v>9</v>
      </c>
      <c r="C80" s="9" t="str">
        <f t="shared" ca="1" si="1"/>
        <v/>
      </c>
      <c r="D80" s="9" t="str">
        <f>[1]!splitstr($A80,CHAR(9),COLUMNS($D:D)-1)</f>
        <v/>
      </c>
      <c r="E80" s="9" t="str">
        <f>[1]!splitstr($A80,CHAR(9),COLUMNS($D:E)-1)</f>
        <v/>
      </c>
      <c r="F80" s="9" t="str">
        <f>[1]!splitstr($A80,CHAR(9),COLUMNS($D:F)-1)</f>
        <v/>
      </c>
      <c r="G80" s="9" t="str">
        <f>[1]!splitstr($A80,CHAR(9),COLUMNS($D:G)-1)</f>
        <v/>
      </c>
      <c r="H80" s="9" t="str">
        <f>[1]!splitstr($A80,CHAR(9),COLUMNS($D:H)-1)</f>
        <v/>
      </c>
      <c r="I80" s="26" t="str">
        <f>[1]!splitstr($A80,CHAR(9),COLUMNS($D:I)-1)</f>
        <v/>
      </c>
      <c r="J80" s="26" t="str">
        <f>[1]!splitstr($A80,CHAR(9),COLUMNS($D:J)-1)</f>
        <v/>
      </c>
      <c r="K80" s="26" t="str">
        <f>[1]!splitstr($A80,CHAR(9),COLUMNS($D:K)-1)</f>
        <v/>
      </c>
    </row>
    <row r="81" spans="1:11" s="2" customFormat="1" ht="12" customHeight="1" x14ac:dyDescent="0.4">
      <c r="A81" s="20"/>
      <c r="B81" s="7" t="s">
        <v>9</v>
      </c>
      <c r="C81" s="9" t="str">
        <f t="shared" ca="1" si="1"/>
        <v/>
      </c>
      <c r="D81" s="9" t="str">
        <f>[1]!splitstr($A81,CHAR(9),COLUMNS($D:D)-1)</f>
        <v/>
      </c>
      <c r="E81" s="9" t="str">
        <f>[1]!splitstr($A81,CHAR(9),COLUMNS($D:E)-1)</f>
        <v/>
      </c>
      <c r="F81" s="9" t="str">
        <f>[1]!splitstr($A81,CHAR(9),COLUMNS($D:F)-1)</f>
        <v/>
      </c>
      <c r="G81" s="9" t="str">
        <f>[1]!splitstr($A81,CHAR(9),COLUMNS($D:G)-1)</f>
        <v/>
      </c>
      <c r="H81" s="9" t="str">
        <f>[1]!splitstr($A81,CHAR(9),COLUMNS($D:H)-1)</f>
        <v/>
      </c>
      <c r="I81" s="26" t="str">
        <f>[1]!splitstr($A81,CHAR(9),COLUMNS($D:I)-1)</f>
        <v/>
      </c>
      <c r="J81" s="26" t="str">
        <f>[1]!splitstr($A81,CHAR(9),COLUMNS($D:J)-1)</f>
        <v/>
      </c>
      <c r="K81" s="26" t="str">
        <f>[1]!splitstr($A81,CHAR(9),COLUMNS($D:K)-1)</f>
        <v/>
      </c>
    </row>
    <row r="82" spans="1:11" s="2" customFormat="1" ht="12" customHeight="1" x14ac:dyDescent="0.4">
      <c r="A82" s="20"/>
      <c r="B82" s="7" t="s">
        <v>9</v>
      </c>
      <c r="C82" s="9" t="str">
        <f t="shared" ca="1" si="1"/>
        <v/>
      </c>
      <c r="D82" s="9" t="str">
        <f>[1]!splitstr($A82,CHAR(9),COLUMNS($D:D)-1)</f>
        <v/>
      </c>
      <c r="E82" s="9" t="str">
        <f>[1]!splitstr($A82,CHAR(9),COLUMNS($D:E)-1)</f>
        <v/>
      </c>
      <c r="F82" s="9" t="str">
        <f>[1]!splitstr($A82,CHAR(9),COLUMNS($D:F)-1)</f>
        <v/>
      </c>
      <c r="G82" s="9" t="str">
        <f>[1]!splitstr($A82,CHAR(9),COLUMNS($D:G)-1)</f>
        <v/>
      </c>
      <c r="H82" s="9" t="str">
        <f>[1]!splitstr($A82,CHAR(9),COLUMNS($D:H)-1)</f>
        <v/>
      </c>
      <c r="I82" s="26" t="str">
        <f>[1]!splitstr($A82,CHAR(9),COLUMNS($D:I)-1)</f>
        <v/>
      </c>
      <c r="J82" s="26" t="str">
        <f>[1]!splitstr($A82,CHAR(9),COLUMNS($D:J)-1)</f>
        <v/>
      </c>
      <c r="K82" s="26" t="str">
        <f>[1]!splitstr($A82,CHAR(9),COLUMNS($D:K)-1)</f>
        <v/>
      </c>
    </row>
    <row r="83" spans="1:11" s="2" customFormat="1" ht="12" customHeight="1" x14ac:dyDescent="0.4">
      <c r="A83" s="20"/>
      <c r="B83" s="7" t="s">
        <v>9</v>
      </c>
      <c r="C83" s="9" t="str">
        <f t="shared" ca="1" si="1"/>
        <v/>
      </c>
      <c r="D83" s="9" t="str">
        <f>[1]!splitstr($A83,CHAR(9),COLUMNS($D:D)-1)</f>
        <v/>
      </c>
      <c r="E83" s="9" t="str">
        <f>[1]!splitstr($A83,CHAR(9),COLUMNS($D:E)-1)</f>
        <v/>
      </c>
      <c r="F83" s="9" t="str">
        <f>[1]!splitstr($A83,CHAR(9),COLUMNS($D:F)-1)</f>
        <v/>
      </c>
      <c r="G83" s="9" t="str">
        <f>[1]!splitstr($A83,CHAR(9),COLUMNS($D:G)-1)</f>
        <v/>
      </c>
      <c r="H83" s="9" t="str">
        <f>[1]!splitstr($A83,CHAR(9),COLUMNS($D:H)-1)</f>
        <v/>
      </c>
      <c r="I83" s="26" t="str">
        <f>[1]!splitstr($A83,CHAR(9),COLUMNS($D:I)-1)</f>
        <v/>
      </c>
      <c r="J83" s="26" t="str">
        <f>[1]!splitstr($A83,CHAR(9),COLUMNS($D:J)-1)</f>
        <v/>
      </c>
      <c r="K83" s="26" t="str">
        <f>[1]!splitstr($A83,CHAR(9),COLUMNS($D:K)-1)</f>
        <v/>
      </c>
    </row>
    <row r="84" spans="1:11" s="2" customFormat="1" ht="12" customHeight="1" x14ac:dyDescent="0.4">
      <c r="A84" s="20"/>
      <c r="B84" s="7" t="s">
        <v>9</v>
      </c>
      <c r="C84" s="9" t="str">
        <f t="shared" ca="1" si="1"/>
        <v/>
      </c>
      <c r="D84" s="9" t="str">
        <f>[1]!splitstr($A84,CHAR(9),COLUMNS($D:D)-1)</f>
        <v/>
      </c>
      <c r="E84" s="9" t="str">
        <f>[1]!splitstr($A84,CHAR(9),COLUMNS($D:E)-1)</f>
        <v/>
      </c>
      <c r="F84" s="9" t="str">
        <f>[1]!splitstr($A84,CHAR(9),COLUMNS($D:F)-1)</f>
        <v/>
      </c>
      <c r="G84" s="9" t="str">
        <f>[1]!splitstr($A84,CHAR(9),COLUMNS($D:G)-1)</f>
        <v/>
      </c>
      <c r="H84" s="9" t="str">
        <f>[1]!splitstr($A84,CHAR(9),COLUMNS($D:H)-1)</f>
        <v/>
      </c>
      <c r="I84" s="26" t="str">
        <f>[1]!splitstr($A84,CHAR(9),COLUMNS($D:I)-1)</f>
        <v/>
      </c>
      <c r="J84" s="26" t="str">
        <f>[1]!splitstr($A84,CHAR(9),COLUMNS($D:J)-1)</f>
        <v/>
      </c>
      <c r="K84" s="26" t="str">
        <f>[1]!splitstr($A84,CHAR(9),COLUMNS($D:K)-1)</f>
        <v/>
      </c>
    </row>
    <row r="85" spans="1:11" s="2" customFormat="1" ht="12" customHeight="1" x14ac:dyDescent="0.4">
      <c r="A85" s="20"/>
      <c r="B85" s="7" t="s">
        <v>9</v>
      </c>
      <c r="C85" s="9" t="str">
        <f t="shared" ca="1" si="1"/>
        <v/>
      </c>
      <c r="D85" s="9" t="str">
        <f>[1]!splitstr($A85,CHAR(9),COLUMNS($D:D)-1)</f>
        <v/>
      </c>
      <c r="E85" s="9" t="str">
        <f>[1]!splitstr($A85,CHAR(9),COLUMNS($D:E)-1)</f>
        <v/>
      </c>
      <c r="F85" s="9" t="str">
        <f>[1]!splitstr($A85,CHAR(9),COLUMNS($D:F)-1)</f>
        <v/>
      </c>
      <c r="G85" s="9" t="str">
        <f>[1]!splitstr($A85,CHAR(9),COLUMNS($D:G)-1)</f>
        <v/>
      </c>
      <c r="H85" s="9" t="str">
        <f>[1]!splitstr($A85,CHAR(9),COLUMNS($D:H)-1)</f>
        <v/>
      </c>
      <c r="I85" s="26" t="str">
        <f>[1]!splitstr($A85,CHAR(9),COLUMNS($D:I)-1)</f>
        <v/>
      </c>
      <c r="J85" s="26" t="str">
        <f>[1]!splitstr($A85,CHAR(9),COLUMNS($D:J)-1)</f>
        <v/>
      </c>
      <c r="K85" s="26" t="str">
        <f>[1]!splitstr($A85,CHAR(9),COLUMNS($D:K)-1)</f>
        <v/>
      </c>
    </row>
    <row r="86" spans="1:11" s="2" customFormat="1" ht="12" customHeight="1" x14ac:dyDescent="0.4">
      <c r="A86" s="20"/>
      <c r="B86" s="7" t="s">
        <v>9</v>
      </c>
      <c r="C86" s="9" t="str">
        <f t="shared" ca="1" si="1"/>
        <v/>
      </c>
      <c r="D86" s="9" t="str">
        <f>[1]!splitstr($A86,CHAR(9),COLUMNS($D:D)-1)</f>
        <v/>
      </c>
      <c r="E86" s="9" t="str">
        <f>[1]!splitstr($A86,CHAR(9),COLUMNS($D:E)-1)</f>
        <v/>
      </c>
      <c r="F86" s="9" t="str">
        <f>[1]!splitstr($A86,CHAR(9),COLUMNS($D:F)-1)</f>
        <v/>
      </c>
      <c r="G86" s="9" t="str">
        <f>[1]!splitstr($A86,CHAR(9),COLUMNS($D:G)-1)</f>
        <v/>
      </c>
      <c r="H86" s="9" t="str">
        <f>[1]!splitstr($A86,CHAR(9),COLUMNS($D:H)-1)</f>
        <v/>
      </c>
      <c r="I86" s="26" t="str">
        <f>[1]!splitstr($A86,CHAR(9),COLUMNS($D:I)-1)</f>
        <v/>
      </c>
      <c r="J86" s="26" t="str">
        <f>[1]!splitstr($A86,CHAR(9),COLUMNS($D:J)-1)</f>
        <v/>
      </c>
      <c r="K86" s="26" t="str">
        <f>[1]!splitstr($A86,CHAR(9),COLUMNS($D:K)-1)</f>
        <v/>
      </c>
    </row>
    <row r="87" spans="1:11" s="2" customFormat="1" ht="12" customHeight="1" x14ac:dyDescent="0.4">
      <c r="A87" s="20"/>
      <c r="B87" s="7" t="s">
        <v>9</v>
      </c>
      <c r="C87" s="9" t="str">
        <f t="shared" ca="1" si="1"/>
        <v/>
      </c>
      <c r="D87" s="9" t="str">
        <f>[1]!splitstr($A87,CHAR(9),COLUMNS($D:D)-1)</f>
        <v/>
      </c>
      <c r="E87" s="9" t="str">
        <f>[1]!splitstr($A87,CHAR(9),COLUMNS($D:E)-1)</f>
        <v/>
      </c>
      <c r="F87" s="9" t="str">
        <f>[1]!splitstr($A87,CHAR(9),COLUMNS($D:F)-1)</f>
        <v/>
      </c>
      <c r="G87" s="9" t="str">
        <f>[1]!splitstr($A87,CHAR(9),COLUMNS($D:G)-1)</f>
        <v/>
      </c>
      <c r="H87" s="9" t="str">
        <f>[1]!splitstr($A87,CHAR(9),COLUMNS($D:H)-1)</f>
        <v/>
      </c>
      <c r="I87" s="26" t="str">
        <f>[1]!splitstr($A87,CHAR(9),COLUMNS($D:I)-1)</f>
        <v/>
      </c>
      <c r="J87" s="26" t="str">
        <f>[1]!splitstr($A87,CHAR(9),COLUMNS($D:J)-1)</f>
        <v/>
      </c>
      <c r="K87" s="26" t="str">
        <f>[1]!splitstr($A87,CHAR(9),COLUMNS($D:K)-1)</f>
        <v/>
      </c>
    </row>
    <row r="88" spans="1:11" s="2" customFormat="1" ht="12" customHeight="1" x14ac:dyDescent="0.4">
      <c r="A88" s="20"/>
      <c r="B88" s="7" t="s">
        <v>9</v>
      </c>
      <c r="C88" s="9" t="str">
        <f t="shared" ca="1" si="1"/>
        <v/>
      </c>
      <c r="D88" s="9" t="str">
        <f>[1]!splitstr($A88,CHAR(9),COLUMNS($D:D)-1)</f>
        <v/>
      </c>
      <c r="E88" s="9" t="str">
        <f>[1]!splitstr($A88,CHAR(9),COLUMNS($D:E)-1)</f>
        <v/>
      </c>
      <c r="F88" s="9" t="str">
        <f>[1]!splitstr($A88,CHAR(9),COLUMNS($D:F)-1)</f>
        <v/>
      </c>
      <c r="G88" s="9" t="str">
        <f>[1]!splitstr($A88,CHAR(9),COLUMNS($D:G)-1)</f>
        <v/>
      </c>
      <c r="H88" s="9" t="str">
        <f>[1]!splitstr($A88,CHAR(9),COLUMNS($D:H)-1)</f>
        <v/>
      </c>
      <c r="I88" s="26" t="str">
        <f>[1]!splitstr($A88,CHAR(9),COLUMNS($D:I)-1)</f>
        <v/>
      </c>
      <c r="J88" s="26" t="str">
        <f>[1]!splitstr($A88,CHAR(9),COLUMNS($D:J)-1)</f>
        <v/>
      </c>
      <c r="K88" s="26" t="str">
        <f>[1]!splitstr($A88,CHAR(9),COLUMNS($D:K)-1)</f>
        <v/>
      </c>
    </row>
    <row r="89" spans="1:11" s="2" customFormat="1" ht="12" customHeight="1" x14ac:dyDescent="0.4">
      <c r="A89" s="20"/>
      <c r="B89" s="7" t="s">
        <v>9</v>
      </c>
      <c r="C89" s="9" t="str">
        <f t="shared" ca="1" si="1"/>
        <v/>
      </c>
      <c r="D89" s="9" t="str">
        <f>[1]!splitstr($A89,CHAR(9),COLUMNS($D:D)-1)</f>
        <v/>
      </c>
      <c r="E89" s="9" t="str">
        <f>[1]!splitstr($A89,CHAR(9),COLUMNS($D:E)-1)</f>
        <v/>
      </c>
      <c r="F89" s="9" t="str">
        <f>[1]!splitstr($A89,CHAR(9),COLUMNS($D:F)-1)</f>
        <v/>
      </c>
      <c r="G89" s="9" t="str">
        <f>[1]!splitstr($A89,CHAR(9),COLUMNS($D:G)-1)</f>
        <v/>
      </c>
      <c r="H89" s="9" t="str">
        <f>[1]!splitstr($A89,CHAR(9),COLUMNS($D:H)-1)</f>
        <v/>
      </c>
      <c r="I89" s="26" t="str">
        <f>[1]!splitstr($A89,CHAR(9),COLUMNS($D:I)-1)</f>
        <v/>
      </c>
      <c r="J89" s="26" t="str">
        <f>[1]!splitstr($A89,CHAR(9),COLUMNS($D:J)-1)</f>
        <v/>
      </c>
      <c r="K89" s="26" t="str">
        <f>[1]!splitstr($A89,CHAR(9),COLUMNS($D:K)-1)</f>
        <v/>
      </c>
    </row>
    <row r="90" spans="1:11" s="2" customFormat="1" ht="12" customHeight="1" x14ac:dyDescent="0.4">
      <c r="A90" s="20"/>
      <c r="B90" s="7" t="s">
        <v>9</v>
      </c>
      <c r="C90" s="9" t="str">
        <f t="shared" ca="1" si="1"/>
        <v/>
      </c>
      <c r="D90" s="9" t="str">
        <f>[1]!splitstr($A90,CHAR(9),COLUMNS($D:D)-1)</f>
        <v/>
      </c>
      <c r="E90" s="9" t="str">
        <f>[1]!splitstr($A90,CHAR(9),COLUMNS($D:E)-1)</f>
        <v/>
      </c>
      <c r="F90" s="9" t="str">
        <f>[1]!splitstr($A90,CHAR(9),COLUMNS($D:F)-1)</f>
        <v/>
      </c>
      <c r="G90" s="9" t="str">
        <f>[1]!splitstr($A90,CHAR(9),COLUMNS($D:G)-1)</f>
        <v/>
      </c>
      <c r="H90" s="9" t="str">
        <f>[1]!splitstr($A90,CHAR(9),COLUMNS($D:H)-1)</f>
        <v/>
      </c>
      <c r="I90" s="26" t="str">
        <f>[1]!splitstr($A90,CHAR(9),COLUMNS($D:I)-1)</f>
        <v/>
      </c>
      <c r="J90" s="26" t="str">
        <f>[1]!splitstr($A90,CHAR(9),COLUMNS($D:J)-1)</f>
        <v/>
      </c>
      <c r="K90" s="26" t="str">
        <f>[1]!splitstr($A90,CHAR(9),COLUMNS($D:K)-1)</f>
        <v/>
      </c>
    </row>
    <row r="91" spans="1:11" s="2" customFormat="1" ht="12" customHeight="1" x14ac:dyDescent="0.4">
      <c r="A91" s="20"/>
      <c r="B91" s="7" t="s">
        <v>9</v>
      </c>
      <c r="C91" s="9" t="str">
        <f t="shared" ca="1" si="1"/>
        <v/>
      </c>
      <c r="D91" s="9" t="str">
        <f>[1]!splitstr($A91,CHAR(9),COLUMNS($D:D)-1)</f>
        <v/>
      </c>
      <c r="E91" s="9" t="str">
        <f>[1]!splitstr($A91,CHAR(9),COLUMNS($D:E)-1)</f>
        <v/>
      </c>
      <c r="F91" s="9" t="str">
        <f>[1]!splitstr($A91,CHAR(9),COLUMNS($D:F)-1)</f>
        <v/>
      </c>
      <c r="G91" s="9" t="str">
        <f>[1]!splitstr($A91,CHAR(9),COLUMNS($D:G)-1)</f>
        <v/>
      </c>
      <c r="H91" s="9" t="str">
        <f>[1]!splitstr($A91,CHAR(9),COLUMNS($D:H)-1)</f>
        <v/>
      </c>
      <c r="I91" s="26" t="str">
        <f>[1]!splitstr($A91,CHAR(9),COLUMNS($D:I)-1)</f>
        <v/>
      </c>
      <c r="J91" s="26" t="str">
        <f>[1]!splitstr($A91,CHAR(9),COLUMNS($D:J)-1)</f>
        <v/>
      </c>
      <c r="K91" s="26" t="str">
        <f>[1]!splitstr($A91,CHAR(9),COLUMNS($D:K)-1)</f>
        <v/>
      </c>
    </row>
    <row r="92" spans="1:11" s="2" customFormat="1" ht="12" customHeight="1" x14ac:dyDescent="0.4">
      <c r="A92" s="20"/>
      <c r="B92" s="7" t="s">
        <v>9</v>
      </c>
      <c r="C92" s="9" t="str">
        <f t="shared" ca="1" si="1"/>
        <v/>
      </c>
      <c r="D92" s="9" t="str">
        <f>[1]!splitstr($A92,CHAR(9),COLUMNS($D:D)-1)</f>
        <v/>
      </c>
      <c r="E92" s="9" t="str">
        <f>[1]!splitstr($A92,CHAR(9),COLUMNS($D:E)-1)</f>
        <v/>
      </c>
      <c r="F92" s="9" t="str">
        <f>[1]!splitstr($A92,CHAR(9),COLUMNS($D:F)-1)</f>
        <v/>
      </c>
      <c r="G92" s="9" t="str">
        <f>[1]!splitstr($A92,CHAR(9),COLUMNS($D:G)-1)</f>
        <v/>
      </c>
      <c r="H92" s="9" t="str">
        <f>[1]!splitstr($A92,CHAR(9),COLUMNS($D:H)-1)</f>
        <v/>
      </c>
      <c r="I92" s="26" t="str">
        <f>[1]!splitstr($A92,CHAR(9),COLUMNS($D:I)-1)</f>
        <v/>
      </c>
      <c r="J92" s="26" t="str">
        <f>[1]!splitstr($A92,CHAR(9),COLUMNS($D:J)-1)</f>
        <v/>
      </c>
      <c r="K92" s="26" t="str">
        <f>[1]!splitstr($A92,CHAR(9),COLUMNS($D:K)-1)</f>
        <v/>
      </c>
    </row>
    <row r="93" spans="1:11" s="2" customFormat="1" ht="12" customHeight="1" x14ac:dyDescent="0.4">
      <c r="A93" s="20"/>
      <c r="B93" s="7" t="s">
        <v>9</v>
      </c>
      <c r="C93" s="9" t="str">
        <f t="shared" ca="1" si="1"/>
        <v/>
      </c>
      <c r="D93" s="9" t="str">
        <f>[1]!splitstr($A93,CHAR(9),COLUMNS($D:D)-1)</f>
        <v/>
      </c>
      <c r="E93" s="9" t="str">
        <f>[1]!splitstr($A93,CHAR(9),COLUMNS($D:E)-1)</f>
        <v/>
      </c>
      <c r="F93" s="9" t="str">
        <f>[1]!splitstr($A93,CHAR(9),COLUMNS($D:F)-1)</f>
        <v/>
      </c>
      <c r="G93" s="9" t="str">
        <f>[1]!splitstr($A93,CHAR(9),COLUMNS($D:G)-1)</f>
        <v/>
      </c>
      <c r="H93" s="9" t="str">
        <f>[1]!splitstr($A93,CHAR(9),COLUMNS($D:H)-1)</f>
        <v/>
      </c>
      <c r="I93" s="26" t="str">
        <f>[1]!splitstr($A93,CHAR(9),COLUMNS($D:I)-1)</f>
        <v/>
      </c>
      <c r="J93" s="26" t="str">
        <f>[1]!splitstr($A93,CHAR(9),COLUMNS($D:J)-1)</f>
        <v/>
      </c>
      <c r="K93" s="26" t="str">
        <f>[1]!splitstr($A93,CHAR(9),COLUMNS($D:K)-1)</f>
        <v/>
      </c>
    </row>
    <row r="94" spans="1:11" s="2" customFormat="1" ht="12" customHeight="1" x14ac:dyDescent="0.4">
      <c r="A94" s="20"/>
      <c r="B94" s="7" t="s">
        <v>9</v>
      </c>
      <c r="C94" s="9" t="str">
        <f t="shared" ca="1" si="1"/>
        <v/>
      </c>
      <c r="D94" s="9" t="str">
        <f>[1]!splitstr($A94,CHAR(9),COLUMNS($D:D)-1)</f>
        <v/>
      </c>
      <c r="E94" s="9" t="str">
        <f>[1]!splitstr($A94,CHAR(9),COLUMNS($D:E)-1)</f>
        <v/>
      </c>
      <c r="F94" s="9" t="str">
        <f>[1]!splitstr($A94,CHAR(9),COLUMNS($D:F)-1)</f>
        <v/>
      </c>
      <c r="G94" s="9" t="str">
        <f>[1]!splitstr($A94,CHAR(9),COLUMNS($D:G)-1)</f>
        <v/>
      </c>
      <c r="H94" s="9" t="str">
        <f>[1]!splitstr($A94,CHAR(9),COLUMNS($D:H)-1)</f>
        <v/>
      </c>
      <c r="I94" s="26" t="str">
        <f>[1]!splitstr($A94,CHAR(9),COLUMNS($D:I)-1)</f>
        <v/>
      </c>
      <c r="J94" s="26" t="str">
        <f>[1]!splitstr($A94,CHAR(9),COLUMNS($D:J)-1)</f>
        <v/>
      </c>
      <c r="K94" s="26" t="str">
        <f>[1]!splitstr($A94,CHAR(9),COLUMNS($D:K)-1)</f>
        <v/>
      </c>
    </row>
    <row r="95" spans="1:11" s="2" customFormat="1" ht="12" customHeight="1" x14ac:dyDescent="0.4">
      <c r="A95" s="20"/>
      <c r="B95" s="7" t="s">
        <v>9</v>
      </c>
      <c r="C95" s="9" t="str">
        <f t="shared" ca="1" si="1"/>
        <v/>
      </c>
      <c r="D95" s="9" t="str">
        <f>[1]!splitstr($A95,CHAR(9),COLUMNS($D:D)-1)</f>
        <v/>
      </c>
      <c r="E95" s="9" t="str">
        <f>[1]!splitstr($A95,CHAR(9),COLUMNS($D:E)-1)</f>
        <v/>
      </c>
      <c r="F95" s="9" t="str">
        <f>[1]!splitstr($A95,CHAR(9),COLUMNS($D:F)-1)</f>
        <v/>
      </c>
      <c r="G95" s="9" t="str">
        <f>[1]!splitstr($A95,CHAR(9),COLUMNS($D:G)-1)</f>
        <v/>
      </c>
      <c r="H95" s="9" t="str">
        <f>[1]!splitstr($A95,CHAR(9),COLUMNS($D:H)-1)</f>
        <v/>
      </c>
      <c r="I95" s="26" t="str">
        <f>[1]!splitstr($A95,CHAR(9),COLUMNS($D:I)-1)</f>
        <v/>
      </c>
      <c r="J95" s="26" t="str">
        <f>[1]!splitstr($A95,CHAR(9),COLUMNS($D:J)-1)</f>
        <v/>
      </c>
      <c r="K95" s="26" t="str">
        <f>[1]!splitstr($A95,CHAR(9),COLUMNS($D:K)-1)</f>
        <v/>
      </c>
    </row>
    <row r="96" spans="1:11" s="2" customFormat="1" ht="12" customHeight="1" x14ac:dyDescent="0.4">
      <c r="A96" s="20"/>
      <c r="B96" s="7" t="s">
        <v>9</v>
      </c>
      <c r="C96" s="9" t="str">
        <f t="shared" ca="1" si="1"/>
        <v/>
      </c>
      <c r="D96" s="9" t="str">
        <f>[1]!splitstr($A96,CHAR(9),COLUMNS($D:D)-1)</f>
        <v/>
      </c>
      <c r="E96" s="9" t="str">
        <f>[1]!splitstr($A96,CHAR(9),COLUMNS($D:E)-1)</f>
        <v/>
      </c>
      <c r="F96" s="9" t="str">
        <f>[1]!splitstr($A96,CHAR(9),COLUMNS($D:F)-1)</f>
        <v/>
      </c>
      <c r="G96" s="9" t="str">
        <f>[1]!splitstr($A96,CHAR(9),COLUMNS($D:G)-1)</f>
        <v/>
      </c>
      <c r="H96" s="9" t="str">
        <f>[1]!splitstr($A96,CHAR(9),COLUMNS($D:H)-1)</f>
        <v/>
      </c>
      <c r="I96" s="26" t="str">
        <f>[1]!splitstr($A96,CHAR(9),COLUMNS($D:I)-1)</f>
        <v/>
      </c>
      <c r="J96" s="26" t="str">
        <f>[1]!splitstr($A96,CHAR(9),COLUMNS($D:J)-1)</f>
        <v/>
      </c>
      <c r="K96" s="26" t="str">
        <f>[1]!splitstr($A96,CHAR(9),COLUMNS($D:K)-1)</f>
        <v/>
      </c>
    </row>
    <row r="97" spans="1:11" s="2" customFormat="1" ht="12" customHeight="1" x14ac:dyDescent="0.4">
      <c r="A97" s="20"/>
      <c r="B97" s="7" t="s">
        <v>9</v>
      </c>
      <c r="C97" s="9" t="str">
        <f t="shared" ca="1" si="1"/>
        <v/>
      </c>
      <c r="D97" s="9" t="str">
        <f>[1]!splitstr($A97,CHAR(9),COLUMNS($D:D)-1)</f>
        <v/>
      </c>
      <c r="E97" s="9" t="str">
        <f>[1]!splitstr($A97,CHAR(9),COLUMNS($D:E)-1)</f>
        <v/>
      </c>
      <c r="F97" s="9" t="str">
        <f>[1]!splitstr($A97,CHAR(9),COLUMNS($D:F)-1)</f>
        <v/>
      </c>
      <c r="G97" s="9" t="str">
        <f>[1]!splitstr($A97,CHAR(9),COLUMNS($D:G)-1)</f>
        <v/>
      </c>
      <c r="H97" s="9" t="str">
        <f>[1]!splitstr($A97,CHAR(9),COLUMNS($D:H)-1)</f>
        <v/>
      </c>
      <c r="I97" s="26" t="str">
        <f>[1]!splitstr($A97,CHAR(9),COLUMNS($D:I)-1)</f>
        <v/>
      </c>
      <c r="J97" s="26" t="str">
        <f>[1]!splitstr($A97,CHAR(9),COLUMNS($D:J)-1)</f>
        <v/>
      </c>
      <c r="K97" s="26" t="str">
        <f>[1]!splitstr($A97,CHAR(9),COLUMNS($D:K)-1)</f>
        <v/>
      </c>
    </row>
    <row r="98" spans="1:11" s="2" customFormat="1" ht="12" customHeight="1" x14ac:dyDescent="0.4">
      <c r="A98" s="20"/>
      <c r="B98" s="7" t="s">
        <v>9</v>
      </c>
      <c r="C98" s="9" t="str">
        <f t="shared" ca="1" si="1"/>
        <v/>
      </c>
      <c r="D98" s="9" t="str">
        <f>[1]!splitstr($A98,CHAR(9),COLUMNS($D:D)-1)</f>
        <v/>
      </c>
      <c r="E98" s="9" t="str">
        <f>[1]!splitstr($A98,CHAR(9),COLUMNS($D:E)-1)</f>
        <v/>
      </c>
      <c r="F98" s="9" t="str">
        <f>[1]!splitstr($A98,CHAR(9),COLUMNS($D:F)-1)</f>
        <v/>
      </c>
      <c r="G98" s="9" t="str">
        <f>[1]!splitstr($A98,CHAR(9),COLUMNS($D:G)-1)</f>
        <v/>
      </c>
      <c r="H98" s="9" t="str">
        <f>[1]!splitstr($A98,CHAR(9),COLUMNS($D:H)-1)</f>
        <v/>
      </c>
      <c r="I98" s="26" t="str">
        <f>[1]!splitstr($A98,CHAR(9),COLUMNS($D:I)-1)</f>
        <v/>
      </c>
      <c r="J98" s="26" t="str">
        <f>[1]!splitstr($A98,CHAR(9),COLUMNS($D:J)-1)</f>
        <v/>
      </c>
      <c r="K98" s="26" t="str">
        <f>[1]!splitstr($A98,CHAR(9),COLUMNS($D:K)-1)</f>
        <v/>
      </c>
    </row>
    <row r="99" spans="1:11" s="2" customFormat="1" ht="12" customHeight="1" x14ac:dyDescent="0.4">
      <c r="A99" s="20"/>
      <c r="B99" s="7" t="s">
        <v>9</v>
      </c>
      <c r="C99" s="9" t="str">
        <f t="shared" ca="1" si="1"/>
        <v/>
      </c>
      <c r="D99" s="9" t="str">
        <f>[1]!splitstr($A99,CHAR(9),COLUMNS($D:D)-1)</f>
        <v/>
      </c>
      <c r="E99" s="9" t="str">
        <f>[1]!splitstr($A99,CHAR(9),COLUMNS($D:E)-1)</f>
        <v/>
      </c>
      <c r="F99" s="9" t="str">
        <f>[1]!splitstr($A99,CHAR(9),COLUMNS($D:F)-1)</f>
        <v/>
      </c>
      <c r="G99" s="9" t="str">
        <f>[1]!splitstr($A99,CHAR(9),COLUMNS($D:G)-1)</f>
        <v/>
      </c>
      <c r="H99" s="9" t="str">
        <f>[1]!splitstr($A99,CHAR(9),COLUMNS($D:H)-1)</f>
        <v/>
      </c>
      <c r="I99" s="26" t="str">
        <f>[1]!splitstr($A99,CHAR(9),COLUMNS($D:I)-1)</f>
        <v/>
      </c>
      <c r="J99" s="26" t="str">
        <f>[1]!splitstr($A99,CHAR(9),COLUMNS($D:J)-1)</f>
        <v/>
      </c>
      <c r="K99" s="26" t="str">
        <f>[1]!splitstr($A99,CHAR(9),COLUMNS($D:K)-1)</f>
        <v/>
      </c>
    </row>
    <row r="100" spans="1:11" s="2" customFormat="1" ht="12" customHeight="1" x14ac:dyDescent="0.4">
      <c r="A100" s="20"/>
      <c r="B100" s="7" t="s">
        <v>9</v>
      </c>
      <c r="C100" s="9" t="str">
        <f t="shared" ca="1" si="1"/>
        <v/>
      </c>
      <c r="D100" s="9" t="str">
        <f>[1]!splitstr($A100,CHAR(9),COLUMNS($D:D)-1)</f>
        <v/>
      </c>
      <c r="E100" s="9" t="str">
        <f>[1]!splitstr($A100,CHAR(9),COLUMNS($D:E)-1)</f>
        <v/>
      </c>
      <c r="F100" s="9" t="str">
        <f>[1]!splitstr($A100,CHAR(9),COLUMNS($D:F)-1)</f>
        <v/>
      </c>
      <c r="G100" s="9" t="str">
        <f>[1]!splitstr($A100,CHAR(9),COLUMNS($D:G)-1)</f>
        <v/>
      </c>
      <c r="H100" s="9" t="str">
        <f>[1]!splitstr($A100,CHAR(9),COLUMNS($D:H)-1)</f>
        <v/>
      </c>
      <c r="I100" s="26" t="str">
        <f>[1]!splitstr($A100,CHAR(9),COLUMNS($D:I)-1)</f>
        <v/>
      </c>
      <c r="J100" s="26" t="str">
        <f>[1]!splitstr($A100,CHAR(9),COLUMNS($D:J)-1)</f>
        <v/>
      </c>
      <c r="K100" s="26" t="str">
        <f>[1]!splitstr($A100,CHAR(9),COLUMNS($D:K)-1)</f>
        <v/>
      </c>
    </row>
    <row r="101" spans="1:11" s="2" customFormat="1" ht="12" customHeight="1" x14ac:dyDescent="0.4">
      <c r="A101" s="20"/>
      <c r="B101" s="7" t="s">
        <v>9</v>
      </c>
      <c r="C101" s="9" t="str">
        <f t="shared" ca="1" si="1"/>
        <v/>
      </c>
      <c r="D101" s="9" t="str">
        <f>[1]!splitstr($A101,CHAR(9),COLUMNS($D:D)-1)</f>
        <v/>
      </c>
      <c r="E101" s="9" t="str">
        <f>[1]!splitstr($A101,CHAR(9),COLUMNS($D:E)-1)</f>
        <v/>
      </c>
      <c r="F101" s="9" t="str">
        <f>[1]!splitstr($A101,CHAR(9),COLUMNS($D:F)-1)</f>
        <v/>
      </c>
      <c r="G101" s="9" t="str">
        <f>[1]!splitstr($A101,CHAR(9),COLUMNS($D:G)-1)</f>
        <v/>
      </c>
      <c r="H101" s="9" t="str">
        <f>[1]!splitstr($A101,CHAR(9),COLUMNS($D:H)-1)</f>
        <v/>
      </c>
      <c r="I101" s="26" t="str">
        <f>[1]!splitstr($A101,CHAR(9),COLUMNS($D:I)-1)</f>
        <v/>
      </c>
      <c r="J101" s="26" t="str">
        <f>[1]!splitstr($A101,CHAR(9),COLUMNS($D:J)-1)</f>
        <v/>
      </c>
      <c r="K101" s="26" t="str">
        <f>[1]!splitstr($A101,CHAR(9),COLUMNS($D:K)-1)</f>
        <v/>
      </c>
    </row>
    <row r="102" spans="1:11" s="2" customFormat="1" ht="12" customHeight="1" x14ac:dyDescent="0.4">
      <c r="A102" s="20"/>
      <c r="B102" s="7" t="s">
        <v>9</v>
      </c>
      <c r="C102" s="9" t="str">
        <f t="shared" ca="1" si="1"/>
        <v/>
      </c>
      <c r="D102" s="9" t="str">
        <f>[1]!splitstr($A102,CHAR(9),COLUMNS($D:D)-1)</f>
        <v/>
      </c>
      <c r="E102" s="9" t="str">
        <f>[1]!splitstr($A102,CHAR(9),COLUMNS($D:E)-1)</f>
        <v/>
      </c>
      <c r="F102" s="9" t="str">
        <f>[1]!splitstr($A102,CHAR(9),COLUMNS($D:F)-1)</f>
        <v/>
      </c>
      <c r="G102" s="9" t="str">
        <f>[1]!splitstr($A102,CHAR(9),COLUMNS($D:G)-1)</f>
        <v/>
      </c>
      <c r="H102" s="9" t="str">
        <f>[1]!splitstr($A102,CHAR(9),COLUMNS($D:H)-1)</f>
        <v/>
      </c>
      <c r="I102" s="26" t="str">
        <f>[1]!splitstr($A102,CHAR(9),COLUMNS($D:I)-1)</f>
        <v/>
      </c>
      <c r="J102" s="26" t="str">
        <f>[1]!splitstr($A102,CHAR(9),COLUMNS($D:J)-1)</f>
        <v/>
      </c>
      <c r="K102" s="26" t="str">
        <f>[1]!splitstr($A102,CHAR(9),COLUMNS($D:K)-1)</f>
        <v/>
      </c>
    </row>
    <row r="103" spans="1:11" s="2" customFormat="1" ht="12" customHeight="1" x14ac:dyDescent="0.4">
      <c r="A103" s="20"/>
      <c r="B103" s="7" t="s">
        <v>9</v>
      </c>
      <c r="C103" s="9" t="str">
        <f t="shared" ca="1" si="1"/>
        <v/>
      </c>
      <c r="D103" s="9" t="str">
        <f>[1]!splitstr($A103,CHAR(9),COLUMNS($D:D)-1)</f>
        <v/>
      </c>
      <c r="E103" s="9" t="str">
        <f>[1]!splitstr($A103,CHAR(9),COLUMNS($D:E)-1)</f>
        <v/>
      </c>
      <c r="F103" s="9" t="str">
        <f>[1]!splitstr($A103,CHAR(9),COLUMNS($D:F)-1)</f>
        <v/>
      </c>
      <c r="G103" s="9" t="str">
        <f>[1]!splitstr($A103,CHAR(9),COLUMNS($D:G)-1)</f>
        <v/>
      </c>
      <c r="H103" s="9" t="str">
        <f>[1]!splitstr($A103,CHAR(9),COLUMNS($D:H)-1)</f>
        <v/>
      </c>
      <c r="I103" s="26" t="str">
        <f>[1]!splitstr($A103,CHAR(9),COLUMNS($D:I)-1)</f>
        <v/>
      </c>
      <c r="J103" s="26" t="str">
        <f>[1]!splitstr($A103,CHAR(9),COLUMNS($D:J)-1)</f>
        <v/>
      </c>
      <c r="K103" s="26" t="str">
        <f>[1]!splitstr($A103,CHAR(9),COLUMNS($D:K)-1)</f>
        <v/>
      </c>
    </row>
    <row r="104" spans="1:11" s="2" customFormat="1" ht="12" customHeight="1" x14ac:dyDescent="0.4">
      <c r="A104" s="20"/>
      <c r="B104" s="7" t="s">
        <v>9</v>
      </c>
      <c r="C104" s="9" t="str">
        <f t="shared" ca="1" si="1"/>
        <v/>
      </c>
      <c r="D104" s="9" t="str">
        <f>[1]!splitstr($A104,CHAR(9),COLUMNS($D:D)-1)</f>
        <v/>
      </c>
      <c r="E104" s="9" t="str">
        <f>[1]!splitstr($A104,CHAR(9),COLUMNS($D:E)-1)</f>
        <v/>
      </c>
      <c r="F104" s="9" t="str">
        <f>[1]!splitstr($A104,CHAR(9),COLUMNS($D:F)-1)</f>
        <v/>
      </c>
      <c r="G104" s="9" t="str">
        <f>[1]!splitstr($A104,CHAR(9),COLUMNS($D:G)-1)</f>
        <v/>
      </c>
      <c r="H104" s="9" t="str">
        <f>[1]!splitstr($A104,CHAR(9),COLUMNS($D:H)-1)</f>
        <v/>
      </c>
      <c r="I104" s="26" t="str">
        <f>[1]!splitstr($A104,CHAR(9),COLUMNS($D:I)-1)</f>
        <v/>
      </c>
      <c r="J104" s="26" t="str">
        <f>[1]!splitstr($A104,CHAR(9),COLUMNS($D:J)-1)</f>
        <v/>
      </c>
      <c r="K104" s="26" t="str">
        <f>[1]!splitstr($A104,CHAR(9),COLUMNS($D:K)-1)</f>
        <v/>
      </c>
    </row>
    <row r="105" spans="1:11" s="2" customFormat="1" ht="12" customHeight="1" x14ac:dyDescent="0.4">
      <c r="A105" s="20"/>
      <c r="B105" s="7" t="s">
        <v>9</v>
      </c>
      <c r="C105" s="9" t="str">
        <f t="shared" ca="1" si="1"/>
        <v/>
      </c>
      <c r="D105" s="9" t="str">
        <f>[1]!splitstr($A105,CHAR(9),COLUMNS($D:D)-1)</f>
        <v/>
      </c>
      <c r="E105" s="9" t="str">
        <f>[1]!splitstr($A105,CHAR(9),COLUMNS($D:E)-1)</f>
        <v/>
      </c>
      <c r="F105" s="9" t="str">
        <f>[1]!splitstr($A105,CHAR(9),COLUMNS($D:F)-1)</f>
        <v/>
      </c>
      <c r="G105" s="9" t="str">
        <f>[1]!splitstr($A105,CHAR(9),COLUMNS($D:G)-1)</f>
        <v/>
      </c>
      <c r="H105" s="9" t="str">
        <f>[1]!splitstr($A105,CHAR(9),COLUMNS($D:H)-1)</f>
        <v/>
      </c>
      <c r="I105" s="26" t="str">
        <f>[1]!splitstr($A105,CHAR(9),COLUMNS($D:I)-1)</f>
        <v/>
      </c>
      <c r="J105" s="26" t="str">
        <f>[1]!splitstr($A105,CHAR(9),COLUMNS($D:J)-1)</f>
        <v/>
      </c>
      <c r="K105" s="26" t="str">
        <f>[1]!splitstr($A105,CHAR(9),COLUMNS($D:K)-1)</f>
        <v/>
      </c>
    </row>
    <row r="106" spans="1:11" s="2" customFormat="1" ht="12" customHeight="1" x14ac:dyDescent="0.4">
      <c r="A106" s="20"/>
      <c r="B106" s="7" t="s">
        <v>9</v>
      </c>
      <c r="C106" s="9" t="str">
        <f t="shared" ca="1" si="1"/>
        <v/>
      </c>
      <c r="D106" s="9" t="str">
        <f>[1]!splitstr($A106,CHAR(9),COLUMNS($D:D)-1)</f>
        <v/>
      </c>
      <c r="E106" s="9" t="str">
        <f>[1]!splitstr($A106,CHAR(9),COLUMNS($D:E)-1)</f>
        <v/>
      </c>
      <c r="F106" s="9" t="str">
        <f>[1]!splitstr($A106,CHAR(9),COLUMNS($D:F)-1)</f>
        <v/>
      </c>
      <c r="G106" s="9" t="str">
        <f>[1]!splitstr($A106,CHAR(9),COLUMNS($D:G)-1)</f>
        <v/>
      </c>
      <c r="H106" s="9" t="str">
        <f>[1]!splitstr($A106,CHAR(9),COLUMNS($D:H)-1)</f>
        <v/>
      </c>
      <c r="I106" s="26" t="str">
        <f>[1]!splitstr($A106,CHAR(9),COLUMNS($D:I)-1)</f>
        <v/>
      </c>
      <c r="J106" s="26" t="str">
        <f>[1]!splitstr($A106,CHAR(9),COLUMNS($D:J)-1)</f>
        <v/>
      </c>
      <c r="K106" s="26" t="str">
        <f>[1]!splitstr($A106,CHAR(9),COLUMNS($D:K)-1)</f>
        <v/>
      </c>
    </row>
    <row r="107" spans="1:11" s="2" customFormat="1" ht="12" customHeight="1" x14ac:dyDescent="0.4">
      <c r="A107" s="20"/>
      <c r="B107" s="7" t="s">
        <v>9</v>
      </c>
      <c r="C107" s="9" t="str">
        <f t="shared" ca="1" si="1"/>
        <v/>
      </c>
      <c r="D107" s="9" t="str">
        <f>[1]!splitstr($A107,CHAR(9),COLUMNS($D:D)-1)</f>
        <v/>
      </c>
      <c r="E107" s="9" t="str">
        <f>[1]!splitstr($A107,CHAR(9),COLUMNS($D:E)-1)</f>
        <v/>
      </c>
      <c r="F107" s="9" t="str">
        <f>[1]!splitstr($A107,CHAR(9),COLUMNS($D:F)-1)</f>
        <v/>
      </c>
      <c r="G107" s="9" t="str">
        <f>[1]!splitstr($A107,CHAR(9),COLUMNS($D:G)-1)</f>
        <v/>
      </c>
      <c r="H107" s="9" t="str">
        <f>[1]!splitstr($A107,CHAR(9),COLUMNS($D:H)-1)</f>
        <v/>
      </c>
      <c r="I107" s="26" t="str">
        <f>[1]!splitstr($A107,CHAR(9),COLUMNS($D:I)-1)</f>
        <v/>
      </c>
      <c r="J107" s="26" t="str">
        <f>[1]!splitstr($A107,CHAR(9),COLUMNS($D:J)-1)</f>
        <v/>
      </c>
      <c r="K107" s="26" t="str">
        <f>[1]!splitstr($A107,CHAR(9),COLUMNS($D:K)-1)</f>
        <v/>
      </c>
    </row>
    <row r="108" spans="1:11" s="2" customFormat="1" ht="12" customHeight="1" x14ac:dyDescent="0.4">
      <c r="A108" s="20"/>
      <c r="B108" s="7" t="s">
        <v>9</v>
      </c>
      <c r="C108" s="9" t="str">
        <f t="shared" ca="1" si="1"/>
        <v/>
      </c>
      <c r="D108" s="9" t="str">
        <f>[1]!splitstr($A108,CHAR(9),COLUMNS($D:D)-1)</f>
        <v/>
      </c>
      <c r="E108" s="9" t="str">
        <f>[1]!splitstr($A108,CHAR(9),COLUMNS($D:E)-1)</f>
        <v/>
      </c>
      <c r="F108" s="9" t="str">
        <f>[1]!splitstr($A108,CHAR(9),COLUMNS($D:F)-1)</f>
        <v/>
      </c>
      <c r="G108" s="9" t="str">
        <f>[1]!splitstr($A108,CHAR(9),COLUMNS($D:G)-1)</f>
        <v/>
      </c>
      <c r="H108" s="9" t="str">
        <f>[1]!splitstr($A108,CHAR(9),COLUMNS($D:H)-1)</f>
        <v/>
      </c>
      <c r="I108" s="26" t="str">
        <f>[1]!splitstr($A108,CHAR(9),COLUMNS($D:I)-1)</f>
        <v/>
      </c>
      <c r="J108" s="26" t="str">
        <f>[1]!splitstr($A108,CHAR(9),COLUMNS($D:J)-1)</f>
        <v/>
      </c>
      <c r="K108" s="26" t="str">
        <f>[1]!splitstr($A108,CHAR(9),COLUMNS($D:K)-1)</f>
        <v/>
      </c>
    </row>
    <row r="109" spans="1:11" s="2" customFormat="1" ht="12" customHeight="1" x14ac:dyDescent="0.4">
      <c r="A109" s="20"/>
      <c r="B109" s="7" t="s">
        <v>9</v>
      </c>
      <c r="C109" s="9" t="str">
        <f t="shared" ca="1" si="1"/>
        <v/>
      </c>
      <c r="D109" s="9" t="str">
        <f>[1]!splitstr($A109,CHAR(9),COLUMNS($D:D)-1)</f>
        <v/>
      </c>
      <c r="E109" s="9" t="str">
        <f>[1]!splitstr($A109,CHAR(9),COLUMNS($D:E)-1)</f>
        <v/>
      </c>
      <c r="F109" s="9" t="str">
        <f>[1]!splitstr($A109,CHAR(9),COLUMNS($D:F)-1)</f>
        <v/>
      </c>
      <c r="G109" s="9" t="str">
        <f>[1]!splitstr($A109,CHAR(9),COLUMNS($D:G)-1)</f>
        <v/>
      </c>
      <c r="H109" s="9" t="str">
        <f>[1]!splitstr($A109,CHAR(9),COLUMNS($D:H)-1)</f>
        <v/>
      </c>
      <c r="I109" s="26" t="str">
        <f>[1]!splitstr($A109,CHAR(9),COLUMNS($D:I)-1)</f>
        <v/>
      </c>
      <c r="J109" s="26" t="str">
        <f>[1]!splitstr($A109,CHAR(9),COLUMNS($D:J)-1)</f>
        <v/>
      </c>
      <c r="K109" s="26" t="str">
        <f>[1]!splitstr($A109,CHAR(9),COLUMNS($D:K)-1)</f>
        <v/>
      </c>
    </row>
    <row r="110" spans="1:11" s="2" customFormat="1" ht="12" customHeight="1" x14ac:dyDescent="0.4">
      <c r="A110" s="20"/>
      <c r="B110" s="7" t="s">
        <v>9</v>
      </c>
      <c r="C110" s="9" t="str">
        <f t="shared" ca="1" si="1"/>
        <v/>
      </c>
      <c r="D110" s="9" t="str">
        <f>[1]!splitstr($A110,CHAR(9),COLUMNS($D:D)-1)</f>
        <v/>
      </c>
      <c r="E110" s="9" t="str">
        <f>[1]!splitstr($A110,CHAR(9),COLUMNS($D:E)-1)</f>
        <v/>
      </c>
      <c r="F110" s="9" t="str">
        <f>[1]!splitstr($A110,CHAR(9),COLUMNS($D:F)-1)</f>
        <v/>
      </c>
      <c r="G110" s="9" t="str">
        <f>[1]!splitstr($A110,CHAR(9),COLUMNS($D:G)-1)</f>
        <v/>
      </c>
      <c r="H110" s="9" t="str">
        <f>[1]!splitstr($A110,CHAR(9),COLUMNS($D:H)-1)</f>
        <v/>
      </c>
      <c r="I110" s="26" t="str">
        <f>[1]!splitstr($A110,CHAR(9),COLUMNS($D:I)-1)</f>
        <v/>
      </c>
      <c r="J110" s="26" t="str">
        <f>[1]!splitstr($A110,CHAR(9),COLUMNS($D:J)-1)</f>
        <v/>
      </c>
      <c r="K110" s="26" t="str">
        <f>[1]!splitstr($A110,CHAR(9),COLUMNS($D:K)-1)</f>
        <v/>
      </c>
    </row>
    <row r="111" spans="1:11" s="2" customFormat="1" ht="12" customHeight="1" x14ac:dyDescent="0.4">
      <c r="A111" s="20"/>
      <c r="B111" s="7" t="s">
        <v>9</v>
      </c>
      <c r="C111" s="9" t="str">
        <f t="shared" ca="1" si="1"/>
        <v/>
      </c>
      <c r="D111" s="9" t="str">
        <f>[1]!splitstr($A111,CHAR(9),COLUMNS($D:D)-1)</f>
        <v/>
      </c>
      <c r="E111" s="9" t="str">
        <f>[1]!splitstr($A111,CHAR(9),COLUMNS($D:E)-1)</f>
        <v/>
      </c>
      <c r="F111" s="9" t="str">
        <f>[1]!splitstr($A111,CHAR(9),COLUMNS($D:F)-1)</f>
        <v/>
      </c>
      <c r="G111" s="9" t="str">
        <f>[1]!splitstr($A111,CHAR(9),COLUMNS($D:G)-1)</f>
        <v/>
      </c>
      <c r="H111" s="9" t="str">
        <f>[1]!splitstr($A111,CHAR(9),COLUMNS($D:H)-1)</f>
        <v/>
      </c>
      <c r="I111" s="26" t="str">
        <f>[1]!splitstr($A111,CHAR(9),COLUMNS($D:I)-1)</f>
        <v/>
      </c>
      <c r="J111" s="26" t="str">
        <f>[1]!splitstr($A111,CHAR(9),COLUMNS($D:J)-1)</f>
        <v/>
      </c>
      <c r="K111" s="26" t="str">
        <f>[1]!splitstr($A111,CHAR(9),COLUMNS($D:K)-1)</f>
        <v/>
      </c>
    </row>
    <row r="112" spans="1:11" s="2" customFormat="1" ht="12" customHeight="1" x14ac:dyDescent="0.4">
      <c r="A112" s="20"/>
      <c r="B112" s="7" t="s">
        <v>9</v>
      </c>
      <c r="C112" s="9" t="str">
        <f t="shared" ca="1" si="1"/>
        <v/>
      </c>
      <c r="D112" s="9" t="str">
        <f>[1]!splitstr($A112,CHAR(9),COLUMNS($D:D)-1)</f>
        <v/>
      </c>
      <c r="E112" s="9" t="str">
        <f>[1]!splitstr($A112,CHAR(9),COLUMNS($D:E)-1)</f>
        <v/>
      </c>
      <c r="F112" s="9" t="str">
        <f>[1]!splitstr($A112,CHAR(9),COLUMNS($D:F)-1)</f>
        <v/>
      </c>
      <c r="G112" s="9" t="str">
        <f>[1]!splitstr($A112,CHAR(9),COLUMNS($D:G)-1)</f>
        <v/>
      </c>
      <c r="H112" s="9" t="str">
        <f>[1]!splitstr($A112,CHAR(9),COLUMNS($D:H)-1)</f>
        <v/>
      </c>
      <c r="I112" s="26" t="str">
        <f>[1]!splitstr($A112,CHAR(9),COLUMNS($D:I)-1)</f>
        <v/>
      </c>
      <c r="J112" s="26" t="str">
        <f>[1]!splitstr($A112,CHAR(9),COLUMNS($D:J)-1)</f>
        <v/>
      </c>
      <c r="K112" s="26" t="str">
        <f>[1]!splitstr($A112,CHAR(9),COLUMNS($D:K)-1)</f>
        <v/>
      </c>
    </row>
    <row r="113" spans="1:11" s="2" customFormat="1" ht="12" customHeight="1" x14ac:dyDescent="0.4">
      <c r="A113" s="20"/>
      <c r="B113" s="7" t="s">
        <v>9</v>
      </c>
      <c r="C113" s="9" t="str">
        <f t="shared" ca="1" si="1"/>
        <v/>
      </c>
      <c r="D113" s="9" t="str">
        <f>[1]!splitstr($A113,CHAR(9),COLUMNS($D:D)-1)</f>
        <v/>
      </c>
      <c r="E113" s="9" t="str">
        <f>[1]!splitstr($A113,CHAR(9),COLUMNS($D:E)-1)</f>
        <v/>
      </c>
      <c r="F113" s="9" t="str">
        <f>[1]!splitstr($A113,CHAR(9),COLUMNS($D:F)-1)</f>
        <v/>
      </c>
      <c r="G113" s="9" t="str">
        <f>[1]!splitstr($A113,CHAR(9),COLUMNS($D:G)-1)</f>
        <v/>
      </c>
      <c r="H113" s="9" t="str">
        <f>[1]!splitstr($A113,CHAR(9),COLUMNS($D:H)-1)</f>
        <v/>
      </c>
      <c r="I113" s="26" t="str">
        <f>[1]!splitstr($A113,CHAR(9),COLUMNS($D:I)-1)</f>
        <v/>
      </c>
      <c r="J113" s="26" t="str">
        <f>[1]!splitstr($A113,CHAR(9),COLUMNS($D:J)-1)</f>
        <v/>
      </c>
      <c r="K113" s="26" t="str">
        <f>[1]!splitstr($A113,CHAR(9),COLUMNS($D:K)-1)</f>
        <v/>
      </c>
    </row>
    <row r="114" spans="1:11" s="2" customFormat="1" ht="12" customHeight="1" x14ac:dyDescent="0.4">
      <c r="A114" s="20"/>
      <c r="B114" s="7" t="s">
        <v>9</v>
      </c>
      <c r="C114" s="9" t="str">
        <f t="shared" ca="1" si="1"/>
        <v/>
      </c>
      <c r="D114" s="9" t="str">
        <f>[1]!splitstr($A114,CHAR(9),COLUMNS($D:D)-1)</f>
        <v/>
      </c>
      <c r="E114" s="9" t="str">
        <f>[1]!splitstr($A114,CHAR(9),COLUMNS($D:E)-1)</f>
        <v/>
      </c>
      <c r="F114" s="9" t="str">
        <f>[1]!splitstr($A114,CHAR(9),COLUMNS($D:F)-1)</f>
        <v/>
      </c>
      <c r="G114" s="9" t="str">
        <f>[1]!splitstr($A114,CHAR(9),COLUMNS($D:G)-1)</f>
        <v/>
      </c>
      <c r="H114" s="9" t="str">
        <f>[1]!splitstr($A114,CHAR(9),COLUMNS($D:H)-1)</f>
        <v/>
      </c>
      <c r="I114" s="26" t="str">
        <f>[1]!splitstr($A114,CHAR(9),COLUMNS($D:I)-1)</f>
        <v/>
      </c>
      <c r="J114" s="26" t="str">
        <f>[1]!splitstr($A114,CHAR(9),COLUMNS($D:J)-1)</f>
        <v/>
      </c>
      <c r="K114" s="26" t="str">
        <f>[1]!splitstr($A114,CHAR(9),COLUMNS($D:K)-1)</f>
        <v/>
      </c>
    </row>
    <row r="115" spans="1:11" s="2" customFormat="1" ht="12" customHeight="1" x14ac:dyDescent="0.4">
      <c r="A115" s="20"/>
      <c r="B115" s="7" t="s">
        <v>9</v>
      </c>
      <c r="C115" s="9" t="str">
        <f t="shared" ca="1" si="1"/>
        <v/>
      </c>
      <c r="D115" s="9" t="str">
        <f>[1]!splitstr($A115,CHAR(9),COLUMNS($D:D)-1)</f>
        <v/>
      </c>
      <c r="E115" s="9" t="str">
        <f>[1]!splitstr($A115,CHAR(9),COLUMNS($D:E)-1)</f>
        <v/>
      </c>
      <c r="F115" s="9" t="str">
        <f>[1]!splitstr($A115,CHAR(9),COLUMNS($D:F)-1)</f>
        <v/>
      </c>
      <c r="G115" s="9" t="str">
        <f>[1]!splitstr($A115,CHAR(9),COLUMNS($D:G)-1)</f>
        <v/>
      </c>
      <c r="H115" s="9" t="str">
        <f>[1]!splitstr($A115,CHAR(9),COLUMNS($D:H)-1)</f>
        <v/>
      </c>
      <c r="I115" s="26" t="str">
        <f>[1]!splitstr($A115,CHAR(9),COLUMNS($D:I)-1)</f>
        <v/>
      </c>
      <c r="J115" s="26" t="str">
        <f>[1]!splitstr($A115,CHAR(9),COLUMNS($D:J)-1)</f>
        <v/>
      </c>
      <c r="K115" s="26" t="str">
        <f>[1]!splitstr($A115,CHAR(9),COLUMNS($D:K)-1)</f>
        <v/>
      </c>
    </row>
    <row r="116" spans="1:11" s="2" customFormat="1" ht="12" customHeight="1" x14ac:dyDescent="0.4">
      <c r="A116" s="20"/>
      <c r="B116" s="7" t="s">
        <v>9</v>
      </c>
      <c r="C116" s="9" t="str">
        <f t="shared" ca="1" si="1"/>
        <v/>
      </c>
      <c r="D116" s="9" t="str">
        <f>[1]!splitstr($A116,CHAR(9),COLUMNS($D:D)-1)</f>
        <v/>
      </c>
      <c r="E116" s="9" t="str">
        <f>[1]!splitstr($A116,CHAR(9),COLUMNS($D:E)-1)</f>
        <v/>
      </c>
      <c r="F116" s="9" t="str">
        <f>[1]!splitstr($A116,CHAR(9),COLUMNS($D:F)-1)</f>
        <v/>
      </c>
      <c r="G116" s="9" t="str">
        <f>[1]!splitstr($A116,CHAR(9),COLUMNS($D:G)-1)</f>
        <v/>
      </c>
      <c r="H116" s="9" t="str">
        <f>[1]!splitstr($A116,CHAR(9),COLUMNS($D:H)-1)</f>
        <v/>
      </c>
      <c r="I116" s="26" t="str">
        <f>[1]!splitstr($A116,CHAR(9),COLUMNS($D:I)-1)</f>
        <v/>
      </c>
      <c r="J116" s="26" t="str">
        <f>[1]!splitstr($A116,CHAR(9),COLUMNS($D:J)-1)</f>
        <v/>
      </c>
      <c r="K116" s="26" t="str">
        <f>[1]!splitstr($A116,CHAR(9),COLUMNS($D:K)-1)</f>
        <v/>
      </c>
    </row>
    <row r="117" spans="1:11" s="2" customFormat="1" ht="12" customHeight="1" x14ac:dyDescent="0.4">
      <c r="A117" s="20"/>
      <c r="B117" s="7" t="s">
        <v>9</v>
      </c>
      <c r="C117" s="9" t="str">
        <f t="shared" ca="1" si="1"/>
        <v/>
      </c>
      <c r="D117" s="9" t="str">
        <f>[1]!splitstr($A117,CHAR(9),COLUMNS($D:D)-1)</f>
        <v/>
      </c>
      <c r="E117" s="9" t="str">
        <f>[1]!splitstr($A117,CHAR(9),COLUMNS($D:E)-1)</f>
        <v/>
      </c>
      <c r="F117" s="9" t="str">
        <f>[1]!splitstr($A117,CHAR(9),COLUMNS($D:F)-1)</f>
        <v/>
      </c>
      <c r="G117" s="9" t="str">
        <f>[1]!splitstr($A117,CHAR(9),COLUMNS($D:G)-1)</f>
        <v/>
      </c>
      <c r="H117" s="9" t="str">
        <f>[1]!splitstr($A117,CHAR(9),COLUMNS($D:H)-1)</f>
        <v/>
      </c>
      <c r="I117" s="26" t="str">
        <f>[1]!splitstr($A117,CHAR(9),COLUMNS($D:I)-1)</f>
        <v/>
      </c>
      <c r="J117" s="26" t="str">
        <f>[1]!splitstr($A117,CHAR(9),COLUMNS($D:J)-1)</f>
        <v/>
      </c>
      <c r="K117" s="26" t="str">
        <f>[1]!splitstr($A117,CHAR(9),COLUMNS($D:K)-1)</f>
        <v/>
      </c>
    </row>
    <row r="118" spans="1:11" s="2" customFormat="1" ht="12" customHeight="1" x14ac:dyDescent="0.4">
      <c r="A118" s="20"/>
      <c r="B118" s="7" t="s">
        <v>9</v>
      </c>
      <c r="C118" s="9" t="str">
        <f t="shared" ca="1" si="1"/>
        <v/>
      </c>
      <c r="D118" s="9" t="str">
        <f>[1]!splitstr($A118,CHAR(9),COLUMNS($D:D)-1)</f>
        <v/>
      </c>
      <c r="E118" s="9" t="str">
        <f>[1]!splitstr($A118,CHAR(9),COLUMNS($D:E)-1)</f>
        <v/>
      </c>
      <c r="F118" s="9" t="str">
        <f>[1]!splitstr($A118,CHAR(9),COLUMNS($D:F)-1)</f>
        <v/>
      </c>
      <c r="G118" s="9" t="str">
        <f>[1]!splitstr($A118,CHAR(9),COLUMNS($D:G)-1)</f>
        <v/>
      </c>
      <c r="H118" s="9" t="str">
        <f>[1]!splitstr($A118,CHAR(9),COLUMNS($D:H)-1)</f>
        <v/>
      </c>
      <c r="I118" s="26" t="str">
        <f>[1]!splitstr($A118,CHAR(9),COLUMNS($D:I)-1)</f>
        <v/>
      </c>
      <c r="J118" s="26" t="str">
        <f>[1]!splitstr($A118,CHAR(9),COLUMNS($D:J)-1)</f>
        <v/>
      </c>
      <c r="K118" s="26" t="str">
        <f>[1]!splitstr($A118,CHAR(9),COLUMNS($D:K)-1)</f>
        <v/>
      </c>
    </row>
    <row r="119" spans="1:11" s="2" customFormat="1" ht="12" customHeight="1" x14ac:dyDescent="0.4">
      <c r="A119" s="20"/>
      <c r="B119" s="7" t="s">
        <v>9</v>
      </c>
      <c r="C119" s="9" t="str">
        <f t="shared" ca="1" si="1"/>
        <v/>
      </c>
      <c r="D119" s="9" t="str">
        <f>[1]!splitstr($A119,CHAR(9),COLUMNS($D:D)-1)</f>
        <v/>
      </c>
      <c r="E119" s="9" t="str">
        <f>[1]!splitstr($A119,CHAR(9),COLUMNS($D:E)-1)</f>
        <v/>
      </c>
      <c r="F119" s="9" t="str">
        <f>[1]!splitstr($A119,CHAR(9),COLUMNS($D:F)-1)</f>
        <v/>
      </c>
      <c r="G119" s="9" t="str">
        <f>[1]!splitstr($A119,CHAR(9),COLUMNS($D:G)-1)</f>
        <v/>
      </c>
      <c r="H119" s="9" t="str">
        <f>[1]!splitstr($A119,CHAR(9),COLUMNS($D:H)-1)</f>
        <v/>
      </c>
      <c r="I119" s="26" t="str">
        <f>[1]!splitstr($A119,CHAR(9),COLUMNS($D:I)-1)</f>
        <v/>
      </c>
      <c r="J119" s="26" t="str">
        <f>[1]!splitstr($A119,CHAR(9),COLUMNS($D:J)-1)</f>
        <v/>
      </c>
      <c r="K119" s="26" t="str">
        <f>[1]!splitstr($A119,CHAR(9),COLUMNS($D:K)-1)</f>
        <v/>
      </c>
    </row>
    <row r="120" spans="1:11" s="2" customFormat="1" ht="12" customHeight="1" x14ac:dyDescent="0.4">
      <c r="A120" s="20"/>
      <c r="B120" s="7" t="s">
        <v>9</v>
      </c>
      <c r="C120" s="9" t="str">
        <f t="shared" ca="1" si="1"/>
        <v/>
      </c>
      <c r="D120" s="9" t="str">
        <f>[1]!splitstr($A120,CHAR(9),COLUMNS($D:D)-1)</f>
        <v/>
      </c>
      <c r="E120" s="9" t="str">
        <f>[1]!splitstr($A120,CHAR(9),COLUMNS($D:E)-1)</f>
        <v/>
      </c>
      <c r="F120" s="9" t="str">
        <f>[1]!splitstr($A120,CHAR(9),COLUMNS($D:F)-1)</f>
        <v/>
      </c>
      <c r="G120" s="9" t="str">
        <f>[1]!splitstr($A120,CHAR(9),COLUMNS($D:G)-1)</f>
        <v/>
      </c>
      <c r="H120" s="9" t="str">
        <f>[1]!splitstr($A120,CHAR(9),COLUMNS($D:H)-1)</f>
        <v/>
      </c>
      <c r="I120" s="26" t="str">
        <f>[1]!splitstr($A120,CHAR(9),COLUMNS($D:I)-1)</f>
        <v/>
      </c>
      <c r="J120" s="26" t="str">
        <f>[1]!splitstr($A120,CHAR(9),COLUMNS($D:J)-1)</f>
        <v/>
      </c>
      <c r="K120" s="26" t="str">
        <f>[1]!splitstr($A120,CHAR(9),COLUMNS($D:K)-1)</f>
        <v/>
      </c>
    </row>
    <row r="121" spans="1:11" s="2" customFormat="1" ht="12" customHeight="1" x14ac:dyDescent="0.4">
      <c r="A121" s="20"/>
      <c r="B121" s="7" t="s">
        <v>9</v>
      </c>
      <c r="C121" s="9" t="str">
        <f t="shared" ca="1" si="1"/>
        <v/>
      </c>
      <c r="D121" s="9" t="str">
        <f>[1]!splitstr($A121,CHAR(9),COLUMNS($D:D)-1)</f>
        <v/>
      </c>
      <c r="E121" s="9" t="str">
        <f>[1]!splitstr($A121,CHAR(9),COLUMNS($D:E)-1)</f>
        <v/>
      </c>
      <c r="F121" s="9" t="str">
        <f>[1]!splitstr($A121,CHAR(9),COLUMNS($D:F)-1)</f>
        <v/>
      </c>
      <c r="G121" s="9" t="str">
        <f>[1]!splitstr($A121,CHAR(9),COLUMNS($D:G)-1)</f>
        <v/>
      </c>
      <c r="H121" s="9" t="str">
        <f>[1]!splitstr($A121,CHAR(9),COLUMNS($D:H)-1)</f>
        <v/>
      </c>
      <c r="I121" s="26" t="str">
        <f>[1]!splitstr($A121,CHAR(9),COLUMNS($D:I)-1)</f>
        <v/>
      </c>
      <c r="J121" s="26" t="str">
        <f>[1]!splitstr($A121,CHAR(9),COLUMNS($D:J)-1)</f>
        <v/>
      </c>
      <c r="K121" s="26" t="str">
        <f>[1]!splitstr($A121,CHAR(9),COLUMNS($D:K)-1)</f>
        <v/>
      </c>
    </row>
    <row r="122" spans="1:11" s="2" customFormat="1" ht="12" customHeight="1" x14ac:dyDescent="0.4">
      <c r="A122" s="20"/>
      <c r="B122" s="7" t="s">
        <v>9</v>
      </c>
      <c r="C122" s="9" t="str">
        <f t="shared" ca="1" si="1"/>
        <v/>
      </c>
      <c r="D122" s="9" t="str">
        <f>[1]!splitstr($A122,CHAR(9),COLUMNS($D:D)-1)</f>
        <v/>
      </c>
      <c r="E122" s="9" t="str">
        <f>[1]!splitstr($A122,CHAR(9),COLUMNS($D:E)-1)</f>
        <v/>
      </c>
      <c r="F122" s="9" t="str">
        <f>[1]!splitstr($A122,CHAR(9),COLUMNS($D:F)-1)</f>
        <v/>
      </c>
      <c r="G122" s="9" t="str">
        <f>[1]!splitstr($A122,CHAR(9),COLUMNS($D:G)-1)</f>
        <v/>
      </c>
      <c r="H122" s="9" t="str">
        <f>[1]!splitstr($A122,CHAR(9),COLUMNS($D:H)-1)</f>
        <v/>
      </c>
      <c r="I122" s="26" t="str">
        <f>[1]!splitstr($A122,CHAR(9),COLUMNS($D:I)-1)</f>
        <v/>
      </c>
      <c r="J122" s="26" t="str">
        <f>[1]!splitstr($A122,CHAR(9),COLUMNS($D:J)-1)</f>
        <v/>
      </c>
      <c r="K122" s="26" t="str">
        <f>[1]!splitstr($A122,CHAR(9),COLUMNS($D:K)-1)</f>
        <v/>
      </c>
    </row>
    <row r="123" spans="1:11" s="2" customFormat="1" ht="12" customHeight="1" x14ac:dyDescent="0.4">
      <c r="A123" s="20"/>
      <c r="B123" s="7" t="s">
        <v>9</v>
      </c>
      <c r="C123" s="9" t="str">
        <f t="shared" ca="1" si="1"/>
        <v/>
      </c>
      <c r="D123" s="9" t="str">
        <f>[1]!splitstr($A123,CHAR(9),COLUMNS($D:D)-1)</f>
        <v/>
      </c>
      <c r="E123" s="9" t="str">
        <f>[1]!splitstr($A123,CHAR(9),COLUMNS($D:E)-1)</f>
        <v/>
      </c>
      <c r="F123" s="9" t="str">
        <f>[1]!splitstr($A123,CHAR(9),COLUMNS($D:F)-1)</f>
        <v/>
      </c>
      <c r="G123" s="9" t="str">
        <f>[1]!splitstr($A123,CHAR(9),COLUMNS($D:G)-1)</f>
        <v/>
      </c>
      <c r="H123" s="9" t="str">
        <f>[1]!splitstr($A123,CHAR(9),COLUMNS($D:H)-1)</f>
        <v/>
      </c>
      <c r="I123" s="26" t="str">
        <f>[1]!splitstr($A123,CHAR(9),COLUMNS($D:I)-1)</f>
        <v/>
      </c>
      <c r="J123" s="26" t="str">
        <f>[1]!splitstr($A123,CHAR(9),COLUMNS($D:J)-1)</f>
        <v/>
      </c>
      <c r="K123" s="26" t="str">
        <f>[1]!splitstr($A123,CHAR(9),COLUMNS($D:K)-1)</f>
        <v/>
      </c>
    </row>
    <row r="124" spans="1:11" s="2" customFormat="1" ht="12" customHeight="1" x14ac:dyDescent="0.4">
      <c r="A124" s="20"/>
      <c r="B124" s="7" t="s">
        <v>9</v>
      </c>
      <c r="C124" s="9" t="str">
        <f t="shared" ca="1" si="1"/>
        <v/>
      </c>
      <c r="D124" s="9" t="str">
        <f>[1]!splitstr($A124,CHAR(9),COLUMNS($D:D)-1)</f>
        <v/>
      </c>
      <c r="E124" s="9" t="str">
        <f>[1]!splitstr($A124,CHAR(9),COLUMNS($D:E)-1)</f>
        <v/>
      </c>
      <c r="F124" s="9" t="str">
        <f>[1]!splitstr($A124,CHAR(9),COLUMNS($D:F)-1)</f>
        <v/>
      </c>
      <c r="G124" s="9" t="str">
        <f>[1]!splitstr($A124,CHAR(9),COLUMNS($D:G)-1)</f>
        <v/>
      </c>
      <c r="H124" s="9" t="str">
        <f>[1]!splitstr($A124,CHAR(9),COLUMNS($D:H)-1)</f>
        <v/>
      </c>
      <c r="I124" s="26" t="str">
        <f>[1]!splitstr($A124,CHAR(9),COLUMNS($D:I)-1)</f>
        <v/>
      </c>
      <c r="J124" s="26" t="str">
        <f>[1]!splitstr($A124,CHAR(9),COLUMNS($D:J)-1)</f>
        <v/>
      </c>
      <c r="K124" s="26" t="str">
        <f>[1]!splitstr($A124,CHAR(9),COLUMNS($D:K)-1)</f>
        <v/>
      </c>
    </row>
    <row r="125" spans="1:11" s="2" customFormat="1" ht="12" customHeight="1" x14ac:dyDescent="0.4">
      <c r="A125" s="20"/>
      <c r="B125" s="7" t="s">
        <v>9</v>
      </c>
      <c r="C125" s="9" t="str">
        <f t="shared" ca="1" si="1"/>
        <v/>
      </c>
      <c r="D125" s="9" t="str">
        <f>[1]!splitstr($A125,CHAR(9),COLUMNS($D:D)-1)</f>
        <v/>
      </c>
      <c r="E125" s="9" t="str">
        <f>[1]!splitstr($A125,CHAR(9),COLUMNS($D:E)-1)</f>
        <v/>
      </c>
      <c r="F125" s="9" t="str">
        <f>[1]!splitstr($A125,CHAR(9),COLUMNS($D:F)-1)</f>
        <v/>
      </c>
      <c r="G125" s="9" t="str">
        <f>[1]!splitstr($A125,CHAR(9),COLUMNS($D:G)-1)</f>
        <v/>
      </c>
      <c r="H125" s="9" t="str">
        <f>[1]!splitstr($A125,CHAR(9),COLUMNS($D:H)-1)</f>
        <v/>
      </c>
      <c r="I125" s="26" t="str">
        <f>[1]!splitstr($A125,CHAR(9),COLUMNS($D:I)-1)</f>
        <v/>
      </c>
      <c r="J125" s="26" t="str">
        <f>[1]!splitstr($A125,CHAR(9),COLUMNS($D:J)-1)</f>
        <v/>
      </c>
      <c r="K125" s="26" t="str">
        <f>[1]!splitstr($A125,CHAR(9),COLUMNS($D:K)-1)</f>
        <v/>
      </c>
    </row>
    <row r="126" spans="1:11" s="2" customFormat="1" ht="12" customHeight="1" x14ac:dyDescent="0.4">
      <c r="A126" s="20"/>
      <c r="B126" s="7" t="s">
        <v>9</v>
      </c>
      <c r="C126" s="9" t="str">
        <f t="shared" ca="1" si="1"/>
        <v/>
      </c>
      <c r="D126" s="9" t="str">
        <f>[1]!splitstr($A126,CHAR(9),COLUMNS($D:D)-1)</f>
        <v/>
      </c>
      <c r="E126" s="9" t="str">
        <f>[1]!splitstr($A126,CHAR(9),COLUMNS($D:E)-1)</f>
        <v/>
      </c>
      <c r="F126" s="9" t="str">
        <f>[1]!splitstr($A126,CHAR(9),COLUMNS($D:F)-1)</f>
        <v/>
      </c>
      <c r="G126" s="9" t="str">
        <f>[1]!splitstr($A126,CHAR(9),COLUMNS($D:G)-1)</f>
        <v/>
      </c>
      <c r="H126" s="9" t="str">
        <f>[1]!splitstr($A126,CHAR(9),COLUMNS($D:H)-1)</f>
        <v/>
      </c>
      <c r="I126" s="26" t="str">
        <f>[1]!splitstr($A126,CHAR(9),COLUMNS($D:I)-1)</f>
        <v/>
      </c>
      <c r="J126" s="26" t="str">
        <f>[1]!splitstr($A126,CHAR(9),COLUMNS($D:J)-1)</f>
        <v/>
      </c>
      <c r="K126" s="26" t="str">
        <f>[1]!splitstr($A126,CHAR(9),COLUMNS($D:K)-1)</f>
        <v/>
      </c>
    </row>
    <row r="127" spans="1:11" s="2" customFormat="1" ht="12" customHeight="1" x14ac:dyDescent="0.4">
      <c r="A127" s="20"/>
      <c r="B127" s="7" t="s">
        <v>9</v>
      </c>
      <c r="C127" s="9" t="str">
        <f t="shared" ca="1" si="1"/>
        <v/>
      </c>
      <c r="D127" s="9" t="str">
        <f>[1]!splitstr($A127,CHAR(9),COLUMNS($D:D)-1)</f>
        <v/>
      </c>
      <c r="E127" s="9" t="str">
        <f>[1]!splitstr($A127,CHAR(9),COLUMNS($D:E)-1)</f>
        <v/>
      </c>
      <c r="F127" s="9" t="str">
        <f>[1]!splitstr($A127,CHAR(9),COLUMNS($D:F)-1)</f>
        <v/>
      </c>
      <c r="G127" s="9" t="str">
        <f>[1]!splitstr($A127,CHAR(9),COLUMNS($D:G)-1)</f>
        <v/>
      </c>
      <c r="H127" s="9" t="str">
        <f>[1]!splitstr($A127,CHAR(9),COLUMNS($D:H)-1)</f>
        <v/>
      </c>
      <c r="I127" s="26" t="str">
        <f>[1]!splitstr($A127,CHAR(9),COLUMNS($D:I)-1)</f>
        <v/>
      </c>
      <c r="J127" s="26" t="str">
        <f>[1]!splitstr($A127,CHAR(9),COLUMNS($D:J)-1)</f>
        <v/>
      </c>
      <c r="K127" s="26" t="str">
        <f>[1]!splitstr($A127,CHAR(9),COLUMNS($D:K)-1)</f>
        <v/>
      </c>
    </row>
    <row r="128" spans="1:11" s="2" customFormat="1" ht="12" customHeight="1" x14ac:dyDescent="0.4">
      <c r="A128" s="20"/>
      <c r="B128" s="7" t="s">
        <v>9</v>
      </c>
      <c r="C128" s="9" t="str">
        <f t="shared" ca="1" si="1"/>
        <v/>
      </c>
      <c r="D128" s="9" t="str">
        <f>[1]!splitstr($A128,CHAR(9),COLUMNS($D:D)-1)</f>
        <v/>
      </c>
      <c r="E128" s="9" t="str">
        <f>[1]!splitstr($A128,CHAR(9),COLUMNS($D:E)-1)</f>
        <v/>
      </c>
      <c r="F128" s="9" t="str">
        <f>[1]!splitstr($A128,CHAR(9),COLUMNS($D:F)-1)</f>
        <v/>
      </c>
      <c r="G128" s="9" t="str">
        <f>[1]!splitstr($A128,CHAR(9),COLUMNS($D:G)-1)</f>
        <v/>
      </c>
      <c r="H128" s="9" t="str">
        <f>[1]!splitstr($A128,CHAR(9),COLUMNS($D:H)-1)</f>
        <v/>
      </c>
      <c r="I128" s="26" t="str">
        <f>[1]!splitstr($A128,CHAR(9),COLUMNS($D:I)-1)</f>
        <v/>
      </c>
      <c r="J128" s="26" t="str">
        <f>[1]!splitstr($A128,CHAR(9),COLUMNS($D:J)-1)</f>
        <v/>
      </c>
      <c r="K128" s="26" t="str">
        <f>[1]!splitstr($A128,CHAR(9),COLUMNS($D:K)-1)</f>
        <v/>
      </c>
    </row>
    <row r="129" spans="1:11" s="2" customFormat="1" ht="12" customHeight="1" x14ac:dyDescent="0.4">
      <c r="A129" s="20"/>
      <c r="B129" s="7" t="s">
        <v>9</v>
      </c>
      <c r="C129" s="9" t="str">
        <f t="shared" ca="1" si="1"/>
        <v/>
      </c>
      <c r="D129" s="9" t="str">
        <f>[1]!splitstr($A129,CHAR(9),COLUMNS($D:D)-1)</f>
        <v/>
      </c>
      <c r="E129" s="9" t="str">
        <f>[1]!splitstr($A129,CHAR(9),COLUMNS($D:E)-1)</f>
        <v/>
      </c>
      <c r="F129" s="9" t="str">
        <f>[1]!splitstr($A129,CHAR(9),COLUMNS($D:F)-1)</f>
        <v/>
      </c>
      <c r="G129" s="9" t="str">
        <f>[1]!splitstr($A129,CHAR(9),COLUMNS($D:G)-1)</f>
        <v/>
      </c>
      <c r="H129" s="9" t="str">
        <f>[1]!splitstr($A129,CHAR(9),COLUMNS($D:H)-1)</f>
        <v/>
      </c>
      <c r="I129" s="26" t="str">
        <f>[1]!splitstr($A129,CHAR(9),COLUMNS($D:I)-1)</f>
        <v/>
      </c>
      <c r="J129" s="26" t="str">
        <f>[1]!splitstr($A129,CHAR(9),COLUMNS($D:J)-1)</f>
        <v/>
      </c>
      <c r="K129" s="26" t="str">
        <f>[1]!splitstr($A129,CHAR(9),COLUMNS($D:K)-1)</f>
        <v/>
      </c>
    </row>
    <row r="130" spans="1:11" s="2" customFormat="1" ht="12" customHeight="1" x14ac:dyDescent="0.4">
      <c r="A130" s="20"/>
      <c r="B130" s="7" t="s">
        <v>9</v>
      </c>
      <c r="C130" s="9" t="str">
        <f t="shared" ref="C130:C193" ca="1" si="2">IF(
    OR(
        $A130="",
        OFFSET($A130,-1,0)=""
    ),
    "",
    IF(
        OFFSET($A130,-1,0)=$A$1,
        1,
        OFFSET($C130,-1,0)+1
    )
)</f>
        <v/>
      </c>
      <c r="D130" s="9" t="str">
        <f>[1]!splitstr($A130,CHAR(9),COLUMNS($D:D)-1)</f>
        <v/>
      </c>
      <c r="E130" s="9" t="str">
        <f>[1]!splitstr($A130,CHAR(9),COLUMNS($D:E)-1)</f>
        <v/>
      </c>
      <c r="F130" s="9" t="str">
        <f>[1]!splitstr($A130,CHAR(9),COLUMNS($D:F)-1)</f>
        <v/>
      </c>
      <c r="G130" s="9" t="str">
        <f>[1]!splitstr($A130,CHAR(9),COLUMNS($D:G)-1)</f>
        <v/>
      </c>
      <c r="H130" s="9" t="str">
        <f>[1]!splitstr($A130,CHAR(9),COLUMNS($D:H)-1)</f>
        <v/>
      </c>
      <c r="I130" s="26" t="str">
        <f>[1]!splitstr($A130,CHAR(9),COLUMNS($D:I)-1)</f>
        <v/>
      </c>
      <c r="J130" s="26" t="str">
        <f>[1]!splitstr($A130,CHAR(9),COLUMNS($D:J)-1)</f>
        <v/>
      </c>
      <c r="K130" s="26" t="str">
        <f>[1]!splitstr($A130,CHAR(9),COLUMNS($D:K)-1)</f>
        <v/>
      </c>
    </row>
    <row r="131" spans="1:11" s="2" customFormat="1" ht="12" customHeight="1" x14ac:dyDescent="0.4">
      <c r="A131" s="20"/>
      <c r="B131" s="7" t="s">
        <v>9</v>
      </c>
      <c r="C131" s="9" t="str">
        <f t="shared" ca="1" si="2"/>
        <v/>
      </c>
      <c r="D131" s="9" t="str">
        <f>[1]!splitstr($A131,CHAR(9),COLUMNS($D:D)-1)</f>
        <v/>
      </c>
      <c r="E131" s="9" t="str">
        <f>[1]!splitstr($A131,CHAR(9),COLUMNS($D:E)-1)</f>
        <v/>
      </c>
      <c r="F131" s="9" t="str">
        <f>[1]!splitstr($A131,CHAR(9),COLUMNS($D:F)-1)</f>
        <v/>
      </c>
      <c r="G131" s="9" t="str">
        <f>[1]!splitstr($A131,CHAR(9),COLUMNS($D:G)-1)</f>
        <v/>
      </c>
      <c r="H131" s="9" t="str">
        <f>[1]!splitstr($A131,CHAR(9),COLUMNS($D:H)-1)</f>
        <v/>
      </c>
      <c r="I131" s="26" t="str">
        <f>[1]!splitstr($A131,CHAR(9),COLUMNS($D:I)-1)</f>
        <v/>
      </c>
      <c r="J131" s="26" t="str">
        <f>[1]!splitstr($A131,CHAR(9),COLUMNS($D:J)-1)</f>
        <v/>
      </c>
      <c r="K131" s="26" t="str">
        <f>[1]!splitstr($A131,CHAR(9),COLUMNS($D:K)-1)</f>
        <v/>
      </c>
    </row>
    <row r="132" spans="1:11" s="2" customFormat="1" ht="12" customHeight="1" x14ac:dyDescent="0.4">
      <c r="A132" s="20"/>
      <c r="B132" s="7" t="s">
        <v>9</v>
      </c>
      <c r="C132" s="9" t="str">
        <f t="shared" ca="1" si="2"/>
        <v/>
      </c>
      <c r="D132" s="9" t="str">
        <f>[1]!splitstr($A132,CHAR(9),COLUMNS($D:D)-1)</f>
        <v/>
      </c>
      <c r="E132" s="9" t="str">
        <f>[1]!splitstr($A132,CHAR(9),COLUMNS($D:E)-1)</f>
        <v/>
      </c>
      <c r="F132" s="9" t="str">
        <f>[1]!splitstr($A132,CHAR(9),COLUMNS($D:F)-1)</f>
        <v/>
      </c>
      <c r="G132" s="9" t="str">
        <f>[1]!splitstr($A132,CHAR(9),COLUMNS($D:G)-1)</f>
        <v/>
      </c>
      <c r="H132" s="9" t="str">
        <f>[1]!splitstr($A132,CHAR(9),COLUMNS($D:H)-1)</f>
        <v/>
      </c>
      <c r="I132" s="26" t="str">
        <f>[1]!splitstr($A132,CHAR(9),COLUMNS($D:I)-1)</f>
        <v/>
      </c>
      <c r="J132" s="26" t="str">
        <f>[1]!splitstr($A132,CHAR(9),COLUMNS($D:J)-1)</f>
        <v/>
      </c>
      <c r="K132" s="26" t="str">
        <f>[1]!splitstr($A132,CHAR(9),COLUMNS($D:K)-1)</f>
        <v/>
      </c>
    </row>
    <row r="133" spans="1:11" s="2" customFormat="1" ht="12" customHeight="1" x14ac:dyDescent="0.4">
      <c r="A133" s="20"/>
      <c r="B133" s="7" t="s">
        <v>9</v>
      </c>
      <c r="C133" s="9" t="str">
        <f t="shared" ca="1" si="2"/>
        <v/>
      </c>
      <c r="D133" s="9" t="str">
        <f>[1]!splitstr($A133,CHAR(9),COLUMNS($D:D)-1)</f>
        <v/>
      </c>
      <c r="E133" s="9" t="str">
        <f>[1]!splitstr($A133,CHAR(9),COLUMNS($D:E)-1)</f>
        <v/>
      </c>
      <c r="F133" s="9" t="str">
        <f>[1]!splitstr($A133,CHAR(9),COLUMNS($D:F)-1)</f>
        <v/>
      </c>
      <c r="G133" s="9" t="str">
        <f>[1]!splitstr($A133,CHAR(9),COLUMNS($D:G)-1)</f>
        <v/>
      </c>
      <c r="H133" s="9" t="str">
        <f>[1]!splitstr($A133,CHAR(9),COLUMNS($D:H)-1)</f>
        <v/>
      </c>
      <c r="I133" s="26" t="str">
        <f>[1]!splitstr($A133,CHAR(9),COLUMNS($D:I)-1)</f>
        <v/>
      </c>
      <c r="J133" s="26" t="str">
        <f>[1]!splitstr($A133,CHAR(9),COLUMNS($D:J)-1)</f>
        <v/>
      </c>
      <c r="K133" s="26" t="str">
        <f>[1]!splitstr($A133,CHAR(9),COLUMNS($D:K)-1)</f>
        <v/>
      </c>
    </row>
    <row r="134" spans="1:11" s="2" customFormat="1" ht="12" customHeight="1" x14ac:dyDescent="0.4">
      <c r="A134" s="20"/>
      <c r="B134" s="7" t="s">
        <v>9</v>
      </c>
      <c r="C134" s="9" t="str">
        <f t="shared" ca="1" si="2"/>
        <v/>
      </c>
      <c r="D134" s="9" t="str">
        <f>[1]!splitstr($A134,CHAR(9),COLUMNS($D:D)-1)</f>
        <v/>
      </c>
      <c r="E134" s="9" t="str">
        <f>[1]!splitstr($A134,CHAR(9),COLUMNS($D:E)-1)</f>
        <v/>
      </c>
      <c r="F134" s="9" t="str">
        <f>[1]!splitstr($A134,CHAR(9),COLUMNS($D:F)-1)</f>
        <v/>
      </c>
      <c r="G134" s="9" t="str">
        <f>[1]!splitstr($A134,CHAR(9),COLUMNS($D:G)-1)</f>
        <v/>
      </c>
      <c r="H134" s="9" t="str">
        <f>[1]!splitstr($A134,CHAR(9),COLUMNS($D:H)-1)</f>
        <v/>
      </c>
      <c r="I134" s="26" t="str">
        <f>[1]!splitstr($A134,CHAR(9),COLUMNS($D:I)-1)</f>
        <v/>
      </c>
      <c r="J134" s="26" t="str">
        <f>[1]!splitstr($A134,CHAR(9),COLUMNS($D:J)-1)</f>
        <v/>
      </c>
      <c r="K134" s="26" t="str">
        <f>[1]!splitstr($A134,CHAR(9),COLUMNS($D:K)-1)</f>
        <v/>
      </c>
    </row>
    <row r="135" spans="1:11" s="2" customFormat="1" ht="12" customHeight="1" x14ac:dyDescent="0.4">
      <c r="A135" s="20"/>
      <c r="B135" s="7" t="s">
        <v>9</v>
      </c>
      <c r="C135" s="9" t="str">
        <f t="shared" ca="1" si="2"/>
        <v/>
      </c>
      <c r="D135" s="9" t="str">
        <f>[1]!splitstr($A135,CHAR(9),COLUMNS($D:D)-1)</f>
        <v/>
      </c>
      <c r="E135" s="9" t="str">
        <f>[1]!splitstr($A135,CHAR(9),COLUMNS($D:E)-1)</f>
        <v/>
      </c>
      <c r="F135" s="9" t="str">
        <f>[1]!splitstr($A135,CHAR(9),COLUMNS($D:F)-1)</f>
        <v/>
      </c>
      <c r="G135" s="9" t="str">
        <f>[1]!splitstr($A135,CHAR(9),COLUMNS($D:G)-1)</f>
        <v/>
      </c>
      <c r="H135" s="9" t="str">
        <f>[1]!splitstr($A135,CHAR(9),COLUMNS($D:H)-1)</f>
        <v/>
      </c>
      <c r="I135" s="26" t="str">
        <f>[1]!splitstr($A135,CHAR(9),COLUMNS($D:I)-1)</f>
        <v/>
      </c>
      <c r="J135" s="26" t="str">
        <f>[1]!splitstr($A135,CHAR(9),COLUMNS($D:J)-1)</f>
        <v/>
      </c>
      <c r="K135" s="26" t="str">
        <f>[1]!splitstr($A135,CHAR(9),COLUMNS($D:K)-1)</f>
        <v/>
      </c>
    </row>
    <row r="136" spans="1:11" s="2" customFormat="1" ht="12" customHeight="1" x14ac:dyDescent="0.4">
      <c r="A136" s="20"/>
      <c r="B136" s="7" t="s">
        <v>9</v>
      </c>
      <c r="C136" s="9" t="str">
        <f t="shared" ca="1" si="2"/>
        <v/>
      </c>
      <c r="D136" s="9" t="str">
        <f>[1]!splitstr($A136,CHAR(9),COLUMNS($D:D)-1)</f>
        <v/>
      </c>
      <c r="E136" s="9" t="str">
        <f>[1]!splitstr($A136,CHAR(9),COLUMNS($D:E)-1)</f>
        <v/>
      </c>
      <c r="F136" s="9" t="str">
        <f>[1]!splitstr($A136,CHAR(9),COLUMNS($D:F)-1)</f>
        <v/>
      </c>
      <c r="G136" s="9" t="str">
        <f>[1]!splitstr($A136,CHAR(9),COLUMNS($D:G)-1)</f>
        <v/>
      </c>
      <c r="H136" s="9" t="str">
        <f>[1]!splitstr($A136,CHAR(9),COLUMNS($D:H)-1)</f>
        <v/>
      </c>
      <c r="I136" s="26" t="str">
        <f>[1]!splitstr($A136,CHAR(9),COLUMNS($D:I)-1)</f>
        <v/>
      </c>
      <c r="J136" s="26" t="str">
        <f>[1]!splitstr($A136,CHAR(9),COLUMNS($D:J)-1)</f>
        <v/>
      </c>
      <c r="K136" s="26" t="str">
        <f>[1]!splitstr($A136,CHAR(9),COLUMNS($D:K)-1)</f>
        <v/>
      </c>
    </row>
    <row r="137" spans="1:11" s="2" customFormat="1" ht="12" customHeight="1" x14ac:dyDescent="0.4">
      <c r="A137" s="20"/>
      <c r="B137" s="7" t="s">
        <v>9</v>
      </c>
      <c r="C137" s="9" t="str">
        <f t="shared" ca="1" si="2"/>
        <v/>
      </c>
      <c r="D137" s="9" t="str">
        <f>[1]!splitstr($A137,CHAR(9),COLUMNS($D:D)-1)</f>
        <v/>
      </c>
      <c r="E137" s="9" t="str">
        <f>[1]!splitstr($A137,CHAR(9),COLUMNS($D:E)-1)</f>
        <v/>
      </c>
      <c r="F137" s="9" t="str">
        <f>[1]!splitstr($A137,CHAR(9),COLUMNS($D:F)-1)</f>
        <v/>
      </c>
      <c r="G137" s="9" t="str">
        <f>[1]!splitstr($A137,CHAR(9),COLUMNS($D:G)-1)</f>
        <v/>
      </c>
      <c r="H137" s="9" t="str">
        <f>[1]!splitstr($A137,CHAR(9),COLUMNS($D:H)-1)</f>
        <v/>
      </c>
      <c r="I137" s="26" t="str">
        <f>[1]!splitstr($A137,CHAR(9),COLUMNS($D:I)-1)</f>
        <v/>
      </c>
      <c r="J137" s="26" t="str">
        <f>[1]!splitstr($A137,CHAR(9),COLUMNS($D:J)-1)</f>
        <v/>
      </c>
      <c r="K137" s="26" t="str">
        <f>[1]!splitstr($A137,CHAR(9),COLUMNS($D:K)-1)</f>
        <v/>
      </c>
    </row>
    <row r="138" spans="1:11" s="2" customFormat="1" ht="12" customHeight="1" x14ac:dyDescent="0.4">
      <c r="A138" s="20"/>
      <c r="B138" s="7" t="s">
        <v>9</v>
      </c>
      <c r="C138" s="9" t="str">
        <f t="shared" ca="1" si="2"/>
        <v/>
      </c>
      <c r="D138" s="9" t="str">
        <f>[1]!splitstr($A138,CHAR(9),COLUMNS($D:D)-1)</f>
        <v/>
      </c>
      <c r="E138" s="9" t="str">
        <f>[1]!splitstr($A138,CHAR(9),COLUMNS($D:E)-1)</f>
        <v/>
      </c>
      <c r="F138" s="9" t="str">
        <f>[1]!splitstr($A138,CHAR(9),COLUMNS($D:F)-1)</f>
        <v/>
      </c>
      <c r="G138" s="9" t="str">
        <f>[1]!splitstr($A138,CHAR(9),COLUMNS($D:G)-1)</f>
        <v/>
      </c>
      <c r="H138" s="9" t="str">
        <f>[1]!splitstr($A138,CHAR(9),COLUMNS($D:H)-1)</f>
        <v/>
      </c>
      <c r="I138" s="26" t="str">
        <f>[1]!splitstr($A138,CHAR(9),COLUMNS($D:I)-1)</f>
        <v/>
      </c>
      <c r="J138" s="26" t="str">
        <f>[1]!splitstr($A138,CHAR(9),COLUMNS($D:J)-1)</f>
        <v/>
      </c>
      <c r="K138" s="26" t="str">
        <f>[1]!splitstr($A138,CHAR(9),COLUMNS($D:K)-1)</f>
        <v/>
      </c>
    </row>
    <row r="139" spans="1:11" s="2" customFormat="1" ht="12" customHeight="1" x14ac:dyDescent="0.4">
      <c r="A139" s="20"/>
      <c r="B139" s="7" t="s">
        <v>9</v>
      </c>
      <c r="C139" s="9" t="str">
        <f t="shared" ca="1" si="2"/>
        <v/>
      </c>
      <c r="D139" s="9" t="str">
        <f>[1]!splitstr($A139,CHAR(9),COLUMNS($D:D)-1)</f>
        <v/>
      </c>
      <c r="E139" s="9" t="str">
        <f>[1]!splitstr($A139,CHAR(9),COLUMNS($D:E)-1)</f>
        <v/>
      </c>
      <c r="F139" s="9" t="str">
        <f>[1]!splitstr($A139,CHAR(9),COLUMNS($D:F)-1)</f>
        <v/>
      </c>
      <c r="G139" s="9" t="str">
        <f>[1]!splitstr($A139,CHAR(9),COLUMNS($D:G)-1)</f>
        <v/>
      </c>
      <c r="H139" s="9" t="str">
        <f>[1]!splitstr($A139,CHAR(9),COLUMNS($D:H)-1)</f>
        <v/>
      </c>
      <c r="I139" s="26" t="str">
        <f>[1]!splitstr($A139,CHAR(9),COLUMNS($D:I)-1)</f>
        <v/>
      </c>
      <c r="J139" s="26" t="str">
        <f>[1]!splitstr($A139,CHAR(9),COLUMNS($D:J)-1)</f>
        <v/>
      </c>
      <c r="K139" s="26" t="str">
        <f>[1]!splitstr($A139,CHAR(9),COLUMNS($D:K)-1)</f>
        <v/>
      </c>
    </row>
    <row r="140" spans="1:11" s="2" customFormat="1" ht="12" customHeight="1" x14ac:dyDescent="0.4">
      <c r="A140" s="20"/>
      <c r="B140" s="7" t="s">
        <v>9</v>
      </c>
      <c r="C140" s="9" t="str">
        <f t="shared" ca="1" si="2"/>
        <v/>
      </c>
      <c r="D140" s="9" t="str">
        <f>[1]!splitstr($A140,CHAR(9),COLUMNS($D:D)-1)</f>
        <v/>
      </c>
      <c r="E140" s="9" t="str">
        <f>[1]!splitstr($A140,CHAR(9),COLUMNS($D:E)-1)</f>
        <v/>
      </c>
      <c r="F140" s="9" t="str">
        <f>[1]!splitstr($A140,CHAR(9),COLUMNS($D:F)-1)</f>
        <v/>
      </c>
      <c r="G140" s="9" t="str">
        <f>[1]!splitstr($A140,CHAR(9),COLUMNS($D:G)-1)</f>
        <v/>
      </c>
      <c r="H140" s="9" t="str">
        <f>[1]!splitstr($A140,CHAR(9),COLUMNS($D:H)-1)</f>
        <v/>
      </c>
      <c r="I140" s="26" t="str">
        <f>[1]!splitstr($A140,CHAR(9),COLUMNS($D:I)-1)</f>
        <v/>
      </c>
      <c r="J140" s="26" t="str">
        <f>[1]!splitstr($A140,CHAR(9),COLUMNS($D:J)-1)</f>
        <v/>
      </c>
      <c r="K140" s="26" t="str">
        <f>[1]!splitstr($A140,CHAR(9),COLUMNS($D:K)-1)</f>
        <v/>
      </c>
    </row>
    <row r="141" spans="1:11" s="2" customFormat="1" ht="12" customHeight="1" x14ac:dyDescent="0.4">
      <c r="A141" s="20"/>
      <c r="B141" s="7" t="s">
        <v>9</v>
      </c>
      <c r="C141" s="9" t="str">
        <f t="shared" ca="1" si="2"/>
        <v/>
      </c>
      <c r="D141" s="9" t="str">
        <f>[1]!splitstr($A141,CHAR(9),COLUMNS($D:D)-1)</f>
        <v/>
      </c>
      <c r="E141" s="9" t="str">
        <f>[1]!splitstr($A141,CHAR(9),COLUMNS($D:E)-1)</f>
        <v/>
      </c>
      <c r="F141" s="9" t="str">
        <f>[1]!splitstr($A141,CHAR(9),COLUMNS($D:F)-1)</f>
        <v/>
      </c>
      <c r="G141" s="9" t="str">
        <f>[1]!splitstr($A141,CHAR(9),COLUMNS($D:G)-1)</f>
        <v/>
      </c>
      <c r="H141" s="9" t="str">
        <f>[1]!splitstr($A141,CHAR(9),COLUMNS($D:H)-1)</f>
        <v/>
      </c>
      <c r="I141" s="26" t="str">
        <f>[1]!splitstr($A141,CHAR(9),COLUMNS($D:I)-1)</f>
        <v/>
      </c>
      <c r="J141" s="26" t="str">
        <f>[1]!splitstr($A141,CHAR(9),COLUMNS($D:J)-1)</f>
        <v/>
      </c>
      <c r="K141" s="26" t="str">
        <f>[1]!splitstr($A141,CHAR(9),COLUMNS($D:K)-1)</f>
        <v/>
      </c>
    </row>
    <row r="142" spans="1:11" s="2" customFormat="1" ht="12" customHeight="1" x14ac:dyDescent="0.4">
      <c r="A142" s="20"/>
      <c r="B142" s="7" t="s">
        <v>9</v>
      </c>
      <c r="C142" s="9" t="str">
        <f t="shared" ca="1" si="2"/>
        <v/>
      </c>
      <c r="D142" s="9" t="str">
        <f>[1]!splitstr($A142,CHAR(9),COLUMNS($D:D)-1)</f>
        <v/>
      </c>
      <c r="E142" s="9" t="str">
        <f>[1]!splitstr($A142,CHAR(9),COLUMNS($D:E)-1)</f>
        <v/>
      </c>
      <c r="F142" s="9" t="str">
        <f>[1]!splitstr($A142,CHAR(9),COLUMNS($D:F)-1)</f>
        <v/>
      </c>
      <c r="G142" s="9" t="str">
        <f>[1]!splitstr($A142,CHAR(9),COLUMNS($D:G)-1)</f>
        <v/>
      </c>
      <c r="H142" s="9" t="str">
        <f>[1]!splitstr($A142,CHAR(9),COLUMNS($D:H)-1)</f>
        <v/>
      </c>
      <c r="I142" s="26" t="str">
        <f>[1]!splitstr($A142,CHAR(9),COLUMNS($D:I)-1)</f>
        <v/>
      </c>
      <c r="J142" s="26" t="str">
        <f>[1]!splitstr($A142,CHAR(9),COLUMNS($D:J)-1)</f>
        <v/>
      </c>
      <c r="K142" s="26" t="str">
        <f>[1]!splitstr($A142,CHAR(9),COLUMNS($D:K)-1)</f>
        <v/>
      </c>
    </row>
    <row r="143" spans="1:11" s="2" customFormat="1" ht="12" customHeight="1" x14ac:dyDescent="0.4">
      <c r="A143" s="20"/>
      <c r="B143" s="7" t="s">
        <v>9</v>
      </c>
      <c r="C143" s="9" t="str">
        <f t="shared" ca="1" si="2"/>
        <v/>
      </c>
      <c r="D143" s="9" t="str">
        <f>[1]!splitstr($A143,CHAR(9),COLUMNS($D:D)-1)</f>
        <v/>
      </c>
      <c r="E143" s="9" t="str">
        <f>[1]!splitstr($A143,CHAR(9),COLUMNS($D:E)-1)</f>
        <v/>
      </c>
      <c r="F143" s="9" t="str">
        <f>[1]!splitstr($A143,CHAR(9),COLUMNS($D:F)-1)</f>
        <v/>
      </c>
      <c r="G143" s="9" t="str">
        <f>[1]!splitstr($A143,CHAR(9),COLUMNS($D:G)-1)</f>
        <v/>
      </c>
      <c r="H143" s="9" t="str">
        <f>[1]!splitstr($A143,CHAR(9),COLUMNS($D:H)-1)</f>
        <v/>
      </c>
      <c r="I143" s="26" t="str">
        <f>[1]!splitstr($A143,CHAR(9),COLUMNS($D:I)-1)</f>
        <v/>
      </c>
      <c r="J143" s="26" t="str">
        <f>[1]!splitstr($A143,CHAR(9),COLUMNS($D:J)-1)</f>
        <v/>
      </c>
      <c r="K143" s="26" t="str">
        <f>[1]!splitstr($A143,CHAR(9),COLUMNS($D:K)-1)</f>
        <v/>
      </c>
    </row>
    <row r="144" spans="1:11" s="2" customFormat="1" ht="12" customHeight="1" x14ac:dyDescent="0.4">
      <c r="A144" s="20"/>
      <c r="B144" s="7" t="s">
        <v>9</v>
      </c>
      <c r="C144" s="9" t="str">
        <f t="shared" ca="1" si="2"/>
        <v/>
      </c>
      <c r="D144" s="9" t="str">
        <f>[1]!splitstr($A144,CHAR(9),COLUMNS($D:D)-1)</f>
        <v/>
      </c>
      <c r="E144" s="9" t="str">
        <f>[1]!splitstr($A144,CHAR(9),COLUMNS($D:E)-1)</f>
        <v/>
      </c>
      <c r="F144" s="9" t="str">
        <f>[1]!splitstr($A144,CHAR(9),COLUMNS($D:F)-1)</f>
        <v/>
      </c>
      <c r="G144" s="9" t="str">
        <f>[1]!splitstr($A144,CHAR(9),COLUMNS($D:G)-1)</f>
        <v/>
      </c>
      <c r="H144" s="9" t="str">
        <f>[1]!splitstr($A144,CHAR(9),COLUMNS($D:H)-1)</f>
        <v/>
      </c>
      <c r="I144" s="26" t="str">
        <f>[1]!splitstr($A144,CHAR(9),COLUMNS($D:I)-1)</f>
        <v/>
      </c>
      <c r="J144" s="26" t="str">
        <f>[1]!splitstr($A144,CHAR(9),COLUMNS($D:J)-1)</f>
        <v/>
      </c>
      <c r="K144" s="26" t="str">
        <f>[1]!splitstr($A144,CHAR(9),COLUMNS($D:K)-1)</f>
        <v/>
      </c>
    </row>
    <row r="145" spans="1:11" s="2" customFormat="1" ht="12" customHeight="1" x14ac:dyDescent="0.4">
      <c r="A145" s="20"/>
      <c r="B145" s="7" t="s">
        <v>9</v>
      </c>
      <c r="C145" s="9" t="str">
        <f t="shared" ca="1" si="2"/>
        <v/>
      </c>
      <c r="D145" s="9" t="str">
        <f>[1]!splitstr($A145,CHAR(9),COLUMNS($D:D)-1)</f>
        <v/>
      </c>
      <c r="E145" s="9" t="str">
        <f>[1]!splitstr($A145,CHAR(9),COLUMNS($D:E)-1)</f>
        <v/>
      </c>
      <c r="F145" s="9" t="str">
        <f>[1]!splitstr($A145,CHAR(9),COLUMNS($D:F)-1)</f>
        <v/>
      </c>
      <c r="G145" s="9" t="str">
        <f>[1]!splitstr($A145,CHAR(9),COLUMNS($D:G)-1)</f>
        <v/>
      </c>
      <c r="H145" s="9" t="str">
        <f>[1]!splitstr($A145,CHAR(9),COLUMNS($D:H)-1)</f>
        <v/>
      </c>
      <c r="I145" s="26" t="str">
        <f>[1]!splitstr($A145,CHAR(9),COLUMNS($D:I)-1)</f>
        <v/>
      </c>
      <c r="J145" s="26" t="str">
        <f>[1]!splitstr($A145,CHAR(9),COLUMNS($D:J)-1)</f>
        <v/>
      </c>
      <c r="K145" s="26" t="str">
        <f>[1]!splitstr($A145,CHAR(9),COLUMNS($D:K)-1)</f>
        <v/>
      </c>
    </row>
    <row r="146" spans="1:11" s="2" customFormat="1" ht="12" customHeight="1" x14ac:dyDescent="0.4">
      <c r="A146" s="20"/>
      <c r="B146" s="7" t="s">
        <v>9</v>
      </c>
      <c r="C146" s="9" t="str">
        <f t="shared" ca="1" si="2"/>
        <v/>
      </c>
      <c r="D146" s="9" t="str">
        <f>[1]!splitstr($A146,CHAR(9),COLUMNS($D:D)-1)</f>
        <v/>
      </c>
      <c r="E146" s="9" t="str">
        <f>[1]!splitstr($A146,CHAR(9),COLUMNS($D:E)-1)</f>
        <v/>
      </c>
      <c r="F146" s="9" t="str">
        <f>[1]!splitstr($A146,CHAR(9),COLUMNS($D:F)-1)</f>
        <v/>
      </c>
      <c r="G146" s="9" t="str">
        <f>[1]!splitstr($A146,CHAR(9),COLUMNS($D:G)-1)</f>
        <v/>
      </c>
      <c r="H146" s="9" t="str">
        <f>[1]!splitstr($A146,CHAR(9),COLUMNS($D:H)-1)</f>
        <v/>
      </c>
      <c r="I146" s="26" t="str">
        <f>[1]!splitstr($A146,CHAR(9),COLUMNS($D:I)-1)</f>
        <v/>
      </c>
      <c r="J146" s="26" t="str">
        <f>[1]!splitstr($A146,CHAR(9),COLUMNS($D:J)-1)</f>
        <v/>
      </c>
      <c r="K146" s="26" t="str">
        <f>[1]!splitstr($A146,CHAR(9),COLUMNS($D:K)-1)</f>
        <v/>
      </c>
    </row>
    <row r="147" spans="1:11" s="2" customFormat="1" ht="12" customHeight="1" x14ac:dyDescent="0.4">
      <c r="A147" s="20"/>
      <c r="B147" s="7" t="s">
        <v>9</v>
      </c>
      <c r="C147" s="9" t="str">
        <f t="shared" ca="1" si="2"/>
        <v/>
      </c>
      <c r="D147" s="9" t="str">
        <f>[1]!splitstr($A147,CHAR(9),COLUMNS($D:D)-1)</f>
        <v/>
      </c>
      <c r="E147" s="9" t="str">
        <f>[1]!splitstr($A147,CHAR(9),COLUMNS($D:E)-1)</f>
        <v/>
      </c>
      <c r="F147" s="9" t="str">
        <f>[1]!splitstr($A147,CHAR(9),COLUMNS($D:F)-1)</f>
        <v/>
      </c>
      <c r="G147" s="9" t="str">
        <f>[1]!splitstr($A147,CHAR(9),COLUMNS($D:G)-1)</f>
        <v/>
      </c>
      <c r="H147" s="9" t="str">
        <f>[1]!splitstr($A147,CHAR(9),COLUMNS($D:H)-1)</f>
        <v/>
      </c>
      <c r="I147" s="26" t="str">
        <f>[1]!splitstr($A147,CHAR(9),COLUMNS($D:I)-1)</f>
        <v/>
      </c>
      <c r="J147" s="26" t="str">
        <f>[1]!splitstr($A147,CHAR(9),COLUMNS($D:J)-1)</f>
        <v/>
      </c>
      <c r="K147" s="26" t="str">
        <f>[1]!splitstr($A147,CHAR(9),COLUMNS($D:K)-1)</f>
        <v/>
      </c>
    </row>
    <row r="148" spans="1:11" s="2" customFormat="1" ht="12" customHeight="1" x14ac:dyDescent="0.4">
      <c r="A148" s="20"/>
      <c r="B148" s="7" t="s">
        <v>9</v>
      </c>
      <c r="C148" s="9" t="str">
        <f t="shared" ca="1" si="2"/>
        <v/>
      </c>
      <c r="D148" s="9" t="str">
        <f>[1]!splitstr($A148,CHAR(9),COLUMNS($D:D)-1)</f>
        <v/>
      </c>
      <c r="E148" s="9" t="str">
        <f>[1]!splitstr($A148,CHAR(9),COLUMNS($D:E)-1)</f>
        <v/>
      </c>
      <c r="F148" s="9" t="str">
        <f>[1]!splitstr($A148,CHAR(9),COLUMNS($D:F)-1)</f>
        <v/>
      </c>
      <c r="G148" s="9" t="str">
        <f>[1]!splitstr($A148,CHAR(9),COLUMNS($D:G)-1)</f>
        <v/>
      </c>
      <c r="H148" s="9" t="str">
        <f>[1]!splitstr($A148,CHAR(9),COLUMNS($D:H)-1)</f>
        <v/>
      </c>
      <c r="I148" s="26" t="str">
        <f>[1]!splitstr($A148,CHAR(9),COLUMNS($D:I)-1)</f>
        <v/>
      </c>
      <c r="J148" s="26" t="str">
        <f>[1]!splitstr($A148,CHAR(9),COLUMNS($D:J)-1)</f>
        <v/>
      </c>
      <c r="K148" s="26" t="str">
        <f>[1]!splitstr($A148,CHAR(9),COLUMNS($D:K)-1)</f>
        <v/>
      </c>
    </row>
    <row r="149" spans="1:11" s="2" customFormat="1" ht="12" customHeight="1" x14ac:dyDescent="0.4">
      <c r="A149" s="20"/>
      <c r="B149" s="7" t="s">
        <v>9</v>
      </c>
      <c r="C149" s="9" t="str">
        <f t="shared" ca="1" si="2"/>
        <v/>
      </c>
      <c r="D149" s="9" t="str">
        <f>[1]!splitstr($A149,CHAR(9),COLUMNS($D:D)-1)</f>
        <v/>
      </c>
      <c r="E149" s="9" t="str">
        <f>[1]!splitstr($A149,CHAR(9),COLUMNS($D:E)-1)</f>
        <v/>
      </c>
      <c r="F149" s="9" t="str">
        <f>[1]!splitstr($A149,CHAR(9),COLUMNS($D:F)-1)</f>
        <v/>
      </c>
      <c r="G149" s="9" t="str">
        <f>[1]!splitstr($A149,CHAR(9),COLUMNS($D:G)-1)</f>
        <v/>
      </c>
      <c r="H149" s="9" t="str">
        <f>[1]!splitstr($A149,CHAR(9),COLUMNS($D:H)-1)</f>
        <v/>
      </c>
      <c r="I149" s="26" t="str">
        <f>[1]!splitstr($A149,CHAR(9),COLUMNS($D:I)-1)</f>
        <v/>
      </c>
      <c r="J149" s="26" t="str">
        <f>[1]!splitstr($A149,CHAR(9),COLUMNS($D:J)-1)</f>
        <v/>
      </c>
      <c r="K149" s="26" t="str">
        <f>[1]!splitstr($A149,CHAR(9),COLUMNS($D:K)-1)</f>
        <v/>
      </c>
    </row>
    <row r="150" spans="1:11" s="2" customFormat="1" ht="12" customHeight="1" x14ac:dyDescent="0.4">
      <c r="A150" s="20"/>
      <c r="B150" s="7" t="s">
        <v>9</v>
      </c>
      <c r="C150" s="9" t="str">
        <f t="shared" ca="1" si="2"/>
        <v/>
      </c>
      <c r="D150" s="9" t="str">
        <f>[1]!splitstr($A150,CHAR(9),COLUMNS($D:D)-1)</f>
        <v/>
      </c>
      <c r="E150" s="9" t="str">
        <f>[1]!splitstr($A150,CHAR(9),COLUMNS($D:E)-1)</f>
        <v/>
      </c>
      <c r="F150" s="9" t="str">
        <f>[1]!splitstr($A150,CHAR(9),COLUMNS($D:F)-1)</f>
        <v/>
      </c>
      <c r="G150" s="9" t="str">
        <f>[1]!splitstr($A150,CHAR(9),COLUMNS($D:G)-1)</f>
        <v/>
      </c>
      <c r="H150" s="9" t="str">
        <f>[1]!splitstr($A150,CHAR(9),COLUMNS($D:H)-1)</f>
        <v/>
      </c>
      <c r="I150" s="26" t="str">
        <f>[1]!splitstr($A150,CHAR(9),COLUMNS($D:I)-1)</f>
        <v/>
      </c>
      <c r="J150" s="26" t="str">
        <f>[1]!splitstr($A150,CHAR(9),COLUMNS($D:J)-1)</f>
        <v/>
      </c>
      <c r="K150" s="26" t="str">
        <f>[1]!splitstr($A150,CHAR(9),COLUMNS($D:K)-1)</f>
        <v/>
      </c>
    </row>
    <row r="151" spans="1:11" s="2" customFormat="1" ht="12" customHeight="1" x14ac:dyDescent="0.4">
      <c r="A151" s="20"/>
      <c r="B151" s="7" t="s">
        <v>9</v>
      </c>
      <c r="C151" s="9" t="str">
        <f t="shared" ca="1" si="2"/>
        <v/>
      </c>
      <c r="D151" s="9" t="str">
        <f>[1]!splitstr($A151,CHAR(9),COLUMNS($D:D)-1)</f>
        <v/>
      </c>
      <c r="E151" s="9" t="str">
        <f>[1]!splitstr($A151,CHAR(9),COLUMNS($D:E)-1)</f>
        <v/>
      </c>
      <c r="F151" s="9" t="str">
        <f>[1]!splitstr($A151,CHAR(9),COLUMNS($D:F)-1)</f>
        <v/>
      </c>
      <c r="G151" s="9" t="str">
        <f>[1]!splitstr($A151,CHAR(9),COLUMNS($D:G)-1)</f>
        <v/>
      </c>
      <c r="H151" s="9" t="str">
        <f>[1]!splitstr($A151,CHAR(9),COLUMNS($D:H)-1)</f>
        <v/>
      </c>
      <c r="I151" s="26" t="str">
        <f>[1]!splitstr($A151,CHAR(9),COLUMNS($D:I)-1)</f>
        <v/>
      </c>
      <c r="J151" s="26" t="str">
        <f>[1]!splitstr($A151,CHAR(9),COLUMNS($D:J)-1)</f>
        <v/>
      </c>
      <c r="K151" s="26" t="str">
        <f>[1]!splitstr($A151,CHAR(9),COLUMNS($D:K)-1)</f>
        <v/>
      </c>
    </row>
    <row r="152" spans="1:11" s="2" customFormat="1" ht="12" customHeight="1" x14ac:dyDescent="0.4">
      <c r="A152" s="20"/>
      <c r="B152" s="7" t="s">
        <v>9</v>
      </c>
      <c r="C152" s="9" t="str">
        <f t="shared" ca="1" si="2"/>
        <v/>
      </c>
      <c r="D152" s="9" t="str">
        <f>[1]!splitstr($A152,CHAR(9),COLUMNS($D:D)-1)</f>
        <v/>
      </c>
      <c r="E152" s="9" t="str">
        <f>[1]!splitstr($A152,CHAR(9),COLUMNS($D:E)-1)</f>
        <v/>
      </c>
      <c r="F152" s="9" t="str">
        <f>[1]!splitstr($A152,CHAR(9),COLUMNS($D:F)-1)</f>
        <v/>
      </c>
      <c r="G152" s="9" t="str">
        <f>[1]!splitstr($A152,CHAR(9),COLUMNS($D:G)-1)</f>
        <v/>
      </c>
      <c r="H152" s="9" t="str">
        <f>[1]!splitstr($A152,CHAR(9),COLUMNS($D:H)-1)</f>
        <v/>
      </c>
      <c r="I152" s="26" t="str">
        <f>[1]!splitstr($A152,CHAR(9),COLUMNS($D:I)-1)</f>
        <v/>
      </c>
      <c r="J152" s="26" t="str">
        <f>[1]!splitstr($A152,CHAR(9),COLUMNS($D:J)-1)</f>
        <v/>
      </c>
      <c r="K152" s="26" t="str">
        <f>[1]!splitstr($A152,CHAR(9),COLUMNS($D:K)-1)</f>
        <v/>
      </c>
    </row>
    <row r="153" spans="1:11" s="2" customFormat="1" ht="12" customHeight="1" x14ac:dyDescent="0.4">
      <c r="A153" s="20"/>
      <c r="B153" s="7" t="s">
        <v>9</v>
      </c>
      <c r="C153" s="9" t="str">
        <f t="shared" ca="1" si="2"/>
        <v/>
      </c>
      <c r="D153" s="9" t="str">
        <f>[1]!splitstr($A153,CHAR(9),COLUMNS($D:D)-1)</f>
        <v/>
      </c>
      <c r="E153" s="9" t="str">
        <f>[1]!splitstr($A153,CHAR(9),COLUMNS($D:E)-1)</f>
        <v/>
      </c>
      <c r="F153" s="9" t="str">
        <f>[1]!splitstr($A153,CHAR(9),COLUMNS($D:F)-1)</f>
        <v/>
      </c>
      <c r="G153" s="9" t="str">
        <f>[1]!splitstr($A153,CHAR(9),COLUMNS($D:G)-1)</f>
        <v/>
      </c>
      <c r="H153" s="9" t="str">
        <f>[1]!splitstr($A153,CHAR(9),COLUMNS($D:H)-1)</f>
        <v/>
      </c>
      <c r="I153" s="26" t="str">
        <f>[1]!splitstr($A153,CHAR(9),COLUMNS($D:I)-1)</f>
        <v/>
      </c>
      <c r="J153" s="26" t="str">
        <f>[1]!splitstr($A153,CHAR(9),COLUMNS($D:J)-1)</f>
        <v/>
      </c>
      <c r="K153" s="26" t="str">
        <f>[1]!splitstr($A153,CHAR(9),COLUMNS($D:K)-1)</f>
        <v/>
      </c>
    </row>
    <row r="154" spans="1:11" s="2" customFormat="1" ht="12" customHeight="1" x14ac:dyDescent="0.4">
      <c r="A154" s="20"/>
      <c r="B154" s="7" t="s">
        <v>9</v>
      </c>
      <c r="C154" s="9" t="str">
        <f t="shared" ca="1" si="2"/>
        <v/>
      </c>
      <c r="D154" s="9" t="str">
        <f>[1]!splitstr($A154,CHAR(9),COLUMNS($D:D)-1)</f>
        <v/>
      </c>
      <c r="E154" s="9" t="str">
        <f>[1]!splitstr($A154,CHAR(9),COLUMNS($D:E)-1)</f>
        <v/>
      </c>
      <c r="F154" s="9" t="str">
        <f>[1]!splitstr($A154,CHAR(9),COLUMNS($D:F)-1)</f>
        <v/>
      </c>
      <c r="G154" s="9" t="str">
        <f>[1]!splitstr($A154,CHAR(9),COLUMNS($D:G)-1)</f>
        <v/>
      </c>
      <c r="H154" s="9" t="str">
        <f>[1]!splitstr($A154,CHAR(9),COLUMNS($D:H)-1)</f>
        <v/>
      </c>
      <c r="I154" s="26" t="str">
        <f>[1]!splitstr($A154,CHAR(9),COLUMNS($D:I)-1)</f>
        <v/>
      </c>
      <c r="J154" s="26" t="str">
        <f>[1]!splitstr($A154,CHAR(9),COLUMNS($D:J)-1)</f>
        <v/>
      </c>
      <c r="K154" s="26" t="str">
        <f>[1]!splitstr($A154,CHAR(9),COLUMNS($D:K)-1)</f>
        <v/>
      </c>
    </row>
    <row r="155" spans="1:11" s="2" customFormat="1" ht="12" customHeight="1" x14ac:dyDescent="0.4">
      <c r="A155" s="20"/>
      <c r="B155" s="7" t="s">
        <v>9</v>
      </c>
      <c r="C155" s="9" t="str">
        <f t="shared" ca="1" si="2"/>
        <v/>
      </c>
      <c r="D155" s="9" t="str">
        <f>[1]!splitstr($A155,CHAR(9),COLUMNS($D:D)-1)</f>
        <v/>
      </c>
      <c r="E155" s="9" t="str">
        <f>[1]!splitstr($A155,CHAR(9),COLUMNS($D:E)-1)</f>
        <v/>
      </c>
      <c r="F155" s="9" t="str">
        <f>[1]!splitstr($A155,CHAR(9),COLUMNS($D:F)-1)</f>
        <v/>
      </c>
      <c r="G155" s="9" t="str">
        <f>[1]!splitstr($A155,CHAR(9),COLUMNS($D:G)-1)</f>
        <v/>
      </c>
      <c r="H155" s="9" t="str">
        <f>[1]!splitstr($A155,CHAR(9),COLUMNS($D:H)-1)</f>
        <v/>
      </c>
      <c r="I155" s="26" t="str">
        <f>[1]!splitstr($A155,CHAR(9),COLUMNS($D:I)-1)</f>
        <v/>
      </c>
      <c r="J155" s="26" t="str">
        <f>[1]!splitstr($A155,CHAR(9),COLUMNS($D:J)-1)</f>
        <v/>
      </c>
      <c r="K155" s="26" t="str">
        <f>[1]!splitstr($A155,CHAR(9),COLUMNS($D:K)-1)</f>
        <v/>
      </c>
    </row>
    <row r="156" spans="1:11" s="2" customFormat="1" ht="12" customHeight="1" x14ac:dyDescent="0.4">
      <c r="A156" s="20"/>
      <c r="B156" s="7" t="s">
        <v>9</v>
      </c>
      <c r="C156" s="9" t="str">
        <f t="shared" ca="1" si="2"/>
        <v/>
      </c>
      <c r="D156" s="9" t="str">
        <f>[1]!splitstr($A156,CHAR(9),COLUMNS($D:D)-1)</f>
        <v/>
      </c>
      <c r="E156" s="9" t="str">
        <f>[1]!splitstr($A156,CHAR(9),COLUMNS($D:E)-1)</f>
        <v/>
      </c>
      <c r="F156" s="9" t="str">
        <f>[1]!splitstr($A156,CHAR(9),COLUMNS($D:F)-1)</f>
        <v/>
      </c>
      <c r="G156" s="9" t="str">
        <f>[1]!splitstr($A156,CHAR(9),COLUMNS($D:G)-1)</f>
        <v/>
      </c>
      <c r="H156" s="9" t="str">
        <f>[1]!splitstr($A156,CHAR(9),COLUMNS($D:H)-1)</f>
        <v/>
      </c>
      <c r="I156" s="26" t="str">
        <f>[1]!splitstr($A156,CHAR(9),COLUMNS($D:I)-1)</f>
        <v/>
      </c>
      <c r="J156" s="26" t="str">
        <f>[1]!splitstr($A156,CHAR(9),COLUMNS($D:J)-1)</f>
        <v/>
      </c>
      <c r="K156" s="26" t="str">
        <f>[1]!splitstr($A156,CHAR(9),COLUMNS($D:K)-1)</f>
        <v/>
      </c>
    </row>
    <row r="157" spans="1:11" s="2" customFormat="1" ht="12" customHeight="1" x14ac:dyDescent="0.4">
      <c r="A157" s="20"/>
      <c r="B157" s="7" t="s">
        <v>9</v>
      </c>
      <c r="C157" s="9" t="str">
        <f t="shared" ca="1" si="2"/>
        <v/>
      </c>
      <c r="D157" s="9" t="str">
        <f>[1]!splitstr($A157,CHAR(9),COLUMNS($D:D)-1)</f>
        <v/>
      </c>
      <c r="E157" s="9" t="str">
        <f>[1]!splitstr($A157,CHAR(9),COLUMNS($D:E)-1)</f>
        <v/>
      </c>
      <c r="F157" s="9" t="str">
        <f>[1]!splitstr($A157,CHAR(9),COLUMNS($D:F)-1)</f>
        <v/>
      </c>
      <c r="G157" s="9" t="str">
        <f>[1]!splitstr($A157,CHAR(9),COLUMNS($D:G)-1)</f>
        <v/>
      </c>
      <c r="H157" s="9" t="str">
        <f>[1]!splitstr($A157,CHAR(9),COLUMNS($D:H)-1)</f>
        <v/>
      </c>
      <c r="I157" s="26" t="str">
        <f>[1]!splitstr($A157,CHAR(9),COLUMNS($D:I)-1)</f>
        <v/>
      </c>
      <c r="J157" s="26" t="str">
        <f>[1]!splitstr($A157,CHAR(9),COLUMNS($D:J)-1)</f>
        <v/>
      </c>
      <c r="K157" s="26" t="str">
        <f>[1]!splitstr($A157,CHAR(9),COLUMNS($D:K)-1)</f>
        <v/>
      </c>
    </row>
    <row r="158" spans="1:11" s="2" customFormat="1" ht="12" customHeight="1" x14ac:dyDescent="0.4">
      <c r="A158" s="20"/>
      <c r="B158" s="7" t="s">
        <v>9</v>
      </c>
      <c r="C158" s="9" t="str">
        <f t="shared" ca="1" si="2"/>
        <v/>
      </c>
      <c r="D158" s="9" t="str">
        <f>[1]!splitstr($A158,CHAR(9),COLUMNS($D:D)-1)</f>
        <v/>
      </c>
      <c r="E158" s="9" t="str">
        <f>[1]!splitstr($A158,CHAR(9),COLUMNS($D:E)-1)</f>
        <v/>
      </c>
      <c r="F158" s="9" t="str">
        <f>[1]!splitstr($A158,CHAR(9),COLUMNS($D:F)-1)</f>
        <v/>
      </c>
      <c r="G158" s="9" t="str">
        <f>[1]!splitstr($A158,CHAR(9),COLUMNS($D:G)-1)</f>
        <v/>
      </c>
      <c r="H158" s="9" t="str">
        <f>[1]!splitstr($A158,CHAR(9),COLUMNS($D:H)-1)</f>
        <v/>
      </c>
      <c r="I158" s="26" t="str">
        <f>[1]!splitstr($A158,CHAR(9),COLUMNS($D:I)-1)</f>
        <v/>
      </c>
      <c r="J158" s="26" t="str">
        <f>[1]!splitstr($A158,CHAR(9),COLUMNS($D:J)-1)</f>
        <v/>
      </c>
      <c r="K158" s="26" t="str">
        <f>[1]!splitstr($A158,CHAR(9),COLUMNS($D:K)-1)</f>
        <v/>
      </c>
    </row>
    <row r="159" spans="1:11" s="2" customFormat="1" ht="12" customHeight="1" x14ac:dyDescent="0.4">
      <c r="A159" s="20"/>
      <c r="B159" s="7" t="s">
        <v>9</v>
      </c>
      <c r="C159" s="9" t="str">
        <f t="shared" ca="1" si="2"/>
        <v/>
      </c>
      <c r="D159" s="9" t="str">
        <f>[1]!splitstr($A159,CHAR(9),COLUMNS($D:D)-1)</f>
        <v/>
      </c>
      <c r="E159" s="9" t="str">
        <f>[1]!splitstr($A159,CHAR(9),COLUMNS($D:E)-1)</f>
        <v/>
      </c>
      <c r="F159" s="9" t="str">
        <f>[1]!splitstr($A159,CHAR(9),COLUMNS($D:F)-1)</f>
        <v/>
      </c>
      <c r="G159" s="9" t="str">
        <f>[1]!splitstr($A159,CHAR(9),COLUMNS($D:G)-1)</f>
        <v/>
      </c>
      <c r="H159" s="9" t="str">
        <f>[1]!splitstr($A159,CHAR(9),COLUMNS($D:H)-1)</f>
        <v/>
      </c>
      <c r="I159" s="26" t="str">
        <f>[1]!splitstr($A159,CHAR(9),COLUMNS($D:I)-1)</f>
        <v/>
      </c>
      <c r="J159" s="26" t="str">
        <f>[1]!splitstr($A159,CHAR(9),COLUMNS($D:J)-1)</f>
        <v/>
      </c>
      <c r="K159" s="26" t="str">
        <f>[1]!splitstr($A159,CHAR(9),COLUMNS($D:K)-1)</f>
        <v/>
      </c>
    </row>
    <row r="160" spans="1:11" s="2" customFormat="1" ht="12" customHeight="1" x14ac:dyDescent="0.4">
      <c r="A160" s="20"/>
      <c r="B160" s="7" t="s">
        <v>9</v>
      </c>
      <c r="C160" s="9" t="str">
        <f t="shared" ca="1" si="2"/>
        <v/>
      </c>
      <c r="D160" s="9" t="str">
        <f>[1]!splitstr($A160,CHAR(9),COLUMNS($D:D)-1)</f>
        <v/>
      </c>
      <c r="E160" s="9" t="str">
        <f>[1]!splitstr($A160,CHAR(9),COLUMNS($D:E)-1)</f>
        <v/>
      </c>
      <c r="F160" s="9" t="str">
        <f>[1]!splitstr($A160,CHAR(9),COLUMNS($D:F)-1)</f>
        <v/>
      </c>
      <c r="G160" s="9" t="str">
        <f>[1]!splitstr($A160,CHAR(9),COLUMNS($D:G)-1)</f>
        <v/>
      </c>
      <c r="H160" s="9" t="str">
        <f>[1]!splitstr($A160,CHAR(9),COLUMNS($D:H)-1)</f>
        <v/>
      </c>
      <c r="I160" s="26" t="str">
        <f>[1]!splitstr($A160,CHAR(9),COLUMNS($D:I)-1)</f>
        <v/>
      </c>
      <c r="J160" s="26" t="str">
        <f>[1]!splitstr($A160,CHAR(9),COLUMNS($D:J)-1)</f>
        <v/>
      </c>
      <c r="K160" s="26" t="str">
        <f>[1]!splitstr($A160,CHAR(9),COLUMNS($D:K)-1)</f>
        <v/>
      </c>
    </row>
    <row r="161" spans="1:11" s="2" customFormat="1" ht="12" customHeight="1" x14ac:dyDescent="0.4">
      <c r="A161" s="20"/>
      <c r="B161" s="7" t="s">
        <v>9</v>
      </c>
      <c r="C161" s="9" t="str">
        <f t="shared" ca="1" si="2"/>
        <v/>
      </c>
      <c r="D161" s="9" t="str">
        <f>[1]!splitstr($A161,CHAR(9),COLUMNS($D:D)-1)</f>
        <v/>
      </c>
      <c r="E161" s="9" t="str">
        <f>[1]!splitstr($A161,CHAR(9),COLUMNS($D:E)-1)</f>
        <v/>
      </c>
      <c r="F161" s="9" t="str">
        <f>[1]!splitstr($A161,CHAR(9),COLUMNS($D:F)-1)</f>
        <v/>
      </c>
      <c r="G161" s="9" t="str">
        <f>[1]!splitstr($A161,CHAR(9),COLUMNS($D:G)-1)</f>
        <v/>
      </c>
      <c r="H161" s="9" t="str">
        <f>[1]!splitstr($A161,CHAR(9),COLUMNS($D:H)-1)</f>
        <v/>
      </c>
      <c r="I161" s="26" t="str">
        <f>[1]!splitstr($A161,CHAR(9),COLUMNS($D:I)-1)</f>
        <v/>
      </c>
      <c r="J161" s="26" t="str">
        <f>[1]!splitstr($A161,CHAR(9),COLUMNS($D:J)-1)</f>
        <v/>
      </c>
      <c r="K161" s="26" t="str">
        <f>[1]!splitstr($A161,CHAR(9),COLUMNS($D:K)-1)</f>
        <v/>
      </c>
    </row>
    <row r="162" spans="1:11" s="2" customFormat="1" ht="12" customHeight="1" x14ac:dyDescent="0.4">
      <c r="A162" s="20"/>
      <c r="B162" s="7" t="s">
        <v>9</v>
      </c>
      <c r="C162" s="9" t="str">
        <f t="shared" ca="1" si="2"/>
        <v/>
      </c>
      <c r="D162" s="9" t="str">
        <f>[1]!splitstr($A162,CHAR(9),COLUMNS($D:D)-1)</f>
        <v/>
      </c>
      <c r="E162" s="9" t="str">
        <f>[1]!splitstr($A162,CHAR(9),COLUMNS($D:E)-1)</f>
        <v/>
      </c>
      <c r="F162" s="9" t="str">
        <f>[1]!splitstr($A162,CHAR(9),COLUMNS($D:F)-1)</f>
        <v/>
      </c>
      <c r="G162" s="9" t="str">
        <f>[1]!splitstr($A162,CHAR(9),COLUMNS($D:G)-1)</f>
        <v/>
      </c>
      <c r="H162" s="9" t="str">
        <f>[1]!splitstr($A162,CHAR(9),COLUMNS($D:H)-1)</f>
        <v/>
      </c>
      <c r="I162" s="26" t="str">
        <f>[1]!splitstr($A162,CHAR(9),COLUMNS($D:I)-1)</f>
        <v/>
      </c>
      <c r="J162" s="26" t="str">
        <f>[1]!splitstr($A162,CHAR(9),COLUMNS($D:J)-1)</f>
        <v/>
      </c>
      <c r="K162" s="26" t="str">
        <f>[1]!splitstr($A162,CHAR(9),COLUMNS($D:K)-1)</f>
        <v/>
      </c>
    </row>
    <row r="163" spans="1:11" s="2" customFormat="1" ht="12" customHeight="1" x14ac:dyDescent="0.4">
      <c r="A163" s="20"/>
      <c r="B163" s="7" t="s">
        <v>9</v>
      </c>
      <c r="C163" s="9" t="str">
        <f t="shared" ca="1" si="2"/>
        <v/>
      </c>
      <c r="D163" s="9" t="str">
        <f>[1]!splitstr($A163,CHAR(9),COLUMNS($D:D)-1)</f>
        <v/>
      </c>
      <c r="E163" s="9" t="str">
        <f>[1]!splitstr($A163,CHAR(9),COLUMNS($D:E)-1)</f>
        <v/>
      </c>
      <c r="F163" s="9" t="str">
        <f>[1]!splitstr($A163,CHAR(9),COLUMNS($D:F)-1)</f>
        <v/>
      </c>
      <c r="G163" s="9" t="str">
        <f>[1]!splitstr($A163,CHAR(9),COLUMNS($D:G)-1)</f>
        <v/>
      </c>
      <c r="H163" s="9" t="str">
        <f>[1]!splitstr($A163,CHAR(9),COLUMNS($D:H)-1)</f>
        <v/>
      </c>
      <c r="I163" s="26" t="str">
        <f>[1]!splitstr($A163,CHAR(9),COLUMNS($D:I)-1)</f>
        <v/>
      </c>
      <c r="J163" s="26" t="str">
        <f>[1]!splitstr($A163,CHAR(9),COLUMNS($D:J)-1)</f>
        <v/>
      </c>
      <c r="K163" s="26" t="str">
        <f>[1]!splitstr($A163,CHAR(9),COLUMNS($D:K)-1)</f>
        <v/>
      </c>
    </row>
    <row r="164" spans="1:11" s="2" customFormat="1" ht="12" customHeight="1" x14ac:dyDescent="0.4">
      <c r="A164" s="20"/>
      <c r="B164" s="7" t="s">
        <v>9</v>
      </c>
      <c r="C164" s="9" t="str">
        <f t="shared" ca="1" si="2"/>
        <v/>
      </c>
      <c r="D164" s="9" t="str">
        <f>[1]!splitstr($A164,CHAR(9),COLUMNS($D:D)-1)</f>
        <v/>
      </c>
      <c r="E164" s="9" t="str">
        <f>[1]!splitstr($A164,CHAR(9),COLUMNS($D:E)-1)</f>
        <v/>
      </c>
      <c r="F164" s="9" t="str">
        <f>[1]!splitstr($A164,CHAR(9),COLUMNS($D:F)-1)</f>
        <v/>
      </c>
      <c r="G164" s="9" t="str">
        <f>[1]!splitstr($A164,CHAR(9),COLUMNS($D:G)-1)</f>
        <v/>
      </c>
      <c r="H164" s="9" t="str">
        <f>[1]!splitstr($A164,CHAR(9),COLUMNS($D:H)-1)</f>
        <v/>
      </c>
      <c r="I164" s="26" t="str">
        <f>[1]!splitstr($A164,CHAR(9),COLUMNS($D:I)-1)</f>
        <v/>
      </c>
      <c r="J164" s="26" t="str">
        <f>[1]!splitstr($A164,CHAR(9),COLUMNS($D:J)-1)</f>
        <v/>
      </c>
      <c r="K164" s="26" t="str">
        <f>[1]!splitstr($A164,CHAR(9),COLUMNS($D:K)-1)</f>
        <v/>
      </c>
    </row>
    <row r="165" spans="1:11" s="2" customFormat="1" ht="12" customHeight="1" x14ac:dyDescent="0.4">
      <c r="A165" s="20"/>
      <c r="B165" s="7" t="s">
        <v>9</v>
      </c>
      <c r="C165" s="9" t="str">
        <f t="shared" ca="1" si="2"/>
        <v/>
      </c>
      <c r="D165" s="9" t="str">
        <f>[1]!splitstr($A165,CHAR(9),COLUMNS($D:D)-1)</f>
        <v/>
      </c>
      <c r="E165" s="9" t="str">
        <f>[1]!splitstr($A165,CHAR(9),COLUMNS($D:E)-1)</f>
        <v/>
      </c>
      <c r="F165" s="9" t="str">
        <f>[1]!splitstr($A165,CHAR(9),COLUMNS($D:F)-1)</f>
        <v/>
      </c>
      <c r="G165" s="9" t="str">
        <f>[1]!splitstr($A165,CHAR(9),COLUMNS($D:G)-1)</f>
        <v/>
      </c>
      <c r="H165" s="9" t="str">
        <f>[1]!splitstr($A165,CHAR(9),COLUMNS($D:H)-1)</f>
        <v/>
      </c>
      <c r="I165" s="26" t="str">
        <f>[1]!splitstr($A165,CHAR(9),COLUMNS($D:I)-1)</f>
        <v/>
      </c>
      <c r="J165" s="26" t="str">
        <f>[1]!splitstr($A165,CHAR(9),COLUMNS($D:J)-1)</f>
        <v/>
      </c>
      <c r="K165" s="26" t="str">
        <f>[1]!splitstr($A165,CHAR(9),COLUMNS($D:K)-1)</f>
        <v/>
      </c>
    </row>
    <row r="166" spans="1:11" s="2" customFormat="1" ht="12" customHeight="1" x14ac:dyDescent="0.4">
      <c r="A166" s="20"/>
      <c r="B166" s="7" t="s">
        <v>9</v>
      </c>
      <c r="C166" s="9" t="str">
        <f t="shared" ca="1" si="2"/>
        <v/>
      </c>
      <c r="D166" s="9" t="str">
        <f>[1]!splitstr($A166,CHAR(9),COLUMNS($D:D)-1)</f>
        <v/>
      </c>
      <c r="E166" s="9" t="str">
        <f>[1]!splitstr($A166,CHAR(9),COLUMNS($D:E)-1)</f>
        <v/>
      </c>
      <c r="F166" s="9" t="str">
        <f>[1]!splitstr($A166,CHAR(9),COLUMNS($D:F)-1)</f>
        <v/>
      </c>
      <c r="G166" s="9" t="str">
        <f>[1]!splitstr($A166,CHAR(9),COLUMNS($D:G)-1)</f>
        <v/>
      </c>
      <c r="H166" s="9" t="str">
        <f>[1]!splitstr($A166,CHAR(9),COLUMNS($D:H)-1)</f>
        <v/>
      </c>
      <c r="I166" s="26" t="str">
        <f>[1]!splitstr($A166,CHAR(9),COLUMNS($D:I)-1)</f>
        <v/>
      </c>
      <c r="J166" s="26" t="str">
        <f>[1]!splitstr($A166,CHAR(9),COLUMNS($D:J)-1)</f>
        <v/>
      </c>
      <c r="K166" s="26" t="str">
        <f>[1]!splitstr($A166,CHAR(9),COLUMNS($D:K)-1)</f>
        <v/>
      </c>
    </row>
    <row r="167" spans="1:11" s="2" customFormat="1" ht="12" customHeight="1" x14ac:dyDescent="0.4">
      <c r="A167" s="20"/>
      <c r="B167" s="7" t="s">
        <v>9</v>
      </c>
      <c r="C167" s="9" t="str">
        <f t="shared" ca="1" si="2"/>
        <v/>
      </c>
      <c r="D167" s="9" t="str">
        <f>[1]!splitstr($A167,CHAR(9),COLUMNS($D:D)-1)</f>
        <v/>
      </c>
      <c r="E167" s="9" t="str">
        <f>[1]!splitstr($A167,CHAR(9),COLUMNS($D:E)-1)</f>
        <v/>
      </c>
      <c r="F167" s="9" t="str">
        <f>[1]!splitstr($A167,CHAR(9),COLUMNS($D:F)-1)</f>
        <v/>
      </c>
      <c r="G167" s="9" t="str">
        <f>[1]!splitstr($A167,CHAR(9),COLUMNS($D:G)-1)</f>
        <v/>
      </c>
      <c r="H167" s="9" t="str">
        <f>[1]!splitstr($A167,CHAR(9),COLUMNS($D:H)-1)</f>
        <v/>
      </c>
      <c r="I167" s="26" t="str">
        <f>[1]!splitstr($A167,CHAR(9),COLUMNS($D:I)-1)</f>
        <v/>
      </c>
      <c r="J167" s="26" t="str">
        <f>[1]!splitstr($A167,CHAR(9),COLUMNS($D:J)-1)</f>
        <v/>
      </c>
      <c r="K167" s="26" t="str">
        <f>[1]!splitstr($A167,CHAR(9),COLUMNS($D:K)-1)</f>
        <v/>
      </c>
    </row>
    <row r="168" spans="1:11" s="2" customFormat="1" ht="12" customHeight="1" x14ac:dyDescent="0.4">
      <c r="A168" s="20"/>
      <c r="B168" s="7" t="s">
        <v>9</v>
      </c>
      <c r="C168" s="9" t="str">
        <f t="shared" ca="1" si="2"/>
        <v/>
      </c>
      <c r="D168" s="9" t="str">
        <f>[1]!splitstr($A168,CHAR(9),COLUMNS($D:D)-1)</f>
        <v/>
      </c>
      <c r="E168" s="9" t="str">
        <f>[1]!splitstr($A168,CHAR(9),COLUMNS($D:E)-1)</f>
        <v/>
      </c>
      <c r="F168" s="9" t="str">
        <f>[1]!splitstr($A168,CHAR(9),COLUMNS($D:F)-1)</f>
        <v/>
      </c>
      <c r="G168" s="9" t="str">
        <f>[1]!splitstr($A168,CHAR(9),COLUMNS($D:G)-1)</f>
        <v/>
      </c>
      <c r="H168" s="9" t="str">
        <f>[1]!splitstr($A168,CHAR(9),COLUMNS($D:H)-1)</f>
        <v/>
      </c>
      <c r="I168" s="26" t="str">
        <f>[1]!splitstr($A168,CHAR(9),COLUMNS($D:I)-1)</f>
        <v/>
      </c>
      <c r="J168" s="26" t="str">
        <f>[1]!splitstr($A168,CHAR(9),COLUMNS($D:J)-1)</f>
        <v/>
      </c>
      <c r="K168" s="26" t="str">
        <f>[1]!splitstr($A168,CHAR(9),COLUMNS($D:K)-1)</f>
        <v/>
      </c>
    </row>
    <row r="169" spans="1:11" s="2" customFormat="1" ht="12" customHeight="1" x14ac:dyDescent="0.4">
      <c r="A169" s="20"/>
      <c r="B169" s="7" t="s">
        <v>9</v>
      </c>
      <c r="C169" s="9" t="str">
        <f t="shared" ca="1" si="2"/>
        <v/>
      </c>
      <c r="D169" s="9" t="str">
        <f>[1]!splitstr($A169,CHAR(9),COLUMNS($D:D)-1)</f>
        <v/>
      </c>
      <c r="E169" s="9" t="str">
        <f>[1]!splitstr($A169,CHAR(9),COLUMNS($D:E)-1)</f>
        <v/>
      </c>
      <c r="F169" s="9" t="str">
        <f>[1]!splitstr($A169,CHAR(9),COLUMNS($D:F)-1)</f>
        <v/>
      </c>
      <c r="G169" s="9" t="str">
        <f>[1]!splitstr($A169,CHAR(9),COLUMNS($D:G)-1)</f>
        <v/>
      </c>
      <c r="H169" s="9" t="str">
        <f>[1]!splitstr($A169,CHAR(9),COLUMNS($D:H)-1)</f>
        <v/>
      </c>
      <c r="I169" s="26" t="str">
        <f>[1]!splitstr($A169,CHAR(9),COLUMNS($D:I)-1)</f>
        <v/>
      </c>
      <c r="J169" s="26" t="str">
        <f>[1]!splitstr($A169,CHAR(9),COLUMNS($D:J)-1)</f>
        <v/>
      </c>
      <c r="K169" s="26" t="str">
        <f>[1]!splitstr($A169,CHAR(9),COLUMNS($D:K)-1)</f>
        <v/>
      </c>
    </row>
    <row r="170" spans="1:11" s="2" customFormat="1" ht="12" customHeight="1" x14ac:dyDescent="0.4">
      <c r="A170" s="20"/>
      <c r="B170" s="7" t="s">
        <v>9</v>
      </c>
      <c r="C170" s="9" t="str">
        <f t="shared" ca="1" si="2"/>
        <v/>
      </c>
      <c r="D170" s="9" t="str">
        <f>[1]!splitstr($A170,CHAR(9),COLUMNS($D:D)-1)</f>
        <v/>
      </c>
      <c r="E170" s="9" t="str">
        <f>[1]!splitstr($A170,CHAR(9),COLUMNS($D:E)-1)</f>
        <v/>
      </c>
      <c r="F170" s="9" t="str">
        <f>[1]!splitstr($A170,CHAR(9),COLUMNS($D:F)-1)</f>
        <v/>
      </c>
      <c r="G170" s="9" t="str">
        <f>[1]!splitstr($A170,CHAR(9),COLUMNS($D:G)-1)</f>
        <v/>
      </c>
      <c r="H170" s="9" t="str">
        <f>[1]!splitstr($A170,CHAR(9),COLUMNS($D:H)-1)</f>
        <v/>
      </c>
      <c r="I170" s="26" t="str">
        <f>[1]!splitstr($A170,CHAR(9),COLUMNS($D:I)-1)</f>
        <v/>
      </c>
      <c r="J170" s="26" t="str">
        <f>[1]!splitstr($A170,CHAR(9),COLUMNS($D:J)-1)</f>
        <v/>
      </c>
      <c r="K170" s="26" t="str">
        <f>[1]!splitstr($A170,CHAR(9),COLUMNS($D:K)-1)</f>
        <v/>
      </c>
    </row>
    <row r="171" spans="1:11" s="2" customFormat="1" ht="12" customHeight="1" x14ac:dyDescent="0.4">
      <c r="A171" s="20"/>
      <c r="B171" s="7" t="s">
        <v>9</v>
      </c>
      <c r="C171" s="9" t="str">
        <f t="shared" ca="1" si="2"/>
        <v/>
      </c>
      <c r="D171" s="9" t="str">
        <f>[1]!splitstr($A171,CHAR(9),COLUMNS($D:D)-1)</f>
        <v/>
      </c>
      <c r="E171" s="9" t="str">
        <f>[1]!splitstr($A171,CHAR(9),COLUMNS($D:E)-1)</f>
        <v/>
      </c>
      <c r="F171" s="9" t="str">
        <f>[1]!splitstr($A171,CHAR(9),COLUMNS($D:F)-1)</f>
        <v/>
      </c>
      <c r="G171" s="9" t="str">
        <f>[1]!splitstr($A171,CHAR(9),COLUMNS($D:G)-1)</f>
        <v/>
      </c>
      <c r="H171" s="9" t="str">
        <f>[1]!splitstr($A171,CHAR(9),COLUMNS($D:H)-1)</f>
        <v/>
      </c>
      <c r="I171" s="26" t="str">
        <f>[1]!splitstr($A171,CHAR(9),COLUMNS($D:I)-1)</f>
        <v/>
      </c>
      <c r="J171" s="26" t="str">
        <f>[1]!splitstr($A171,CHAR(9),COLUMNS($D:J)-1)</f>
        <v/>
      </c>
      <c r="K171" s="26" t="str">
        <f>[1]!splitstr($A171,CHAR(9),COLUMNS($D:K)-1)</f>
        <v/>
      </c>
    </row>
    <row r="172" spans="1:11" s="2" customFormat="1" ht="12" customHeight="1" x14ac:dyDescent="0.4">
      <c r="A172" s="20"/>
      <c r="B172" s="7" t="s">
        <v>9</v>
      </c>
      <c r="C172" s="9" t="str">
        <f t="shared" ca="1" si="2"/>
        <v/>
      </c>
      <c r="D172" s="9" t="str">
        <f>[1]!splitstr($A172,CHAR(9),COLUMNS($D:D)-1)</f>
        <v/>
      </c>
      <c r="E172" s="9" t="str">
        <f>[1]!splitstr($A172,CHAR(9),COLUMNS($D:E)-1)</f>
        <v/>
      </c>
      <c r="F172" s="9" t="str">
        <f>[1]!splitstr($A172,CHAR(9),COLUMNS($D:F)-1)</f>
        <v/>
      </c>
      <c r="G172" s="9" t="str">
        <f>[1]!splitstr($A172,CHAR(9),COLUMNS($D:G)-1)</f>
        <v/>
      </c>
      <c r="H172" s="9" t="str">
        <f>[1]!splitstr($A172,CHAR(9),COLUMNS($D:H)-1)</f>
        <v/>
      </c>
      <c r="I172" s="26" t="str">
        <f>[1]!splitstr($A172,CHAR(9),COLUMNS($D:I)-1)</f>
        <v/>
      </c>
      <c r="J172" s="26" t="str">
        <f>[1]!splitstr($A172,CHAR(9),COLUMNS($D:J)-1)</f>
        <v/>
      </c>
      <c r="K172" s="26" t="str">
        <f>[1]!splitstr($A172,CHAR(9),COLUMNS($D:K)-1)</f>
        <v/>
      </c>
    </row>
    <row r="173" spans="1:11" s="2" customFormat="1" ht="12" customHeight="1" x14ac:dyDescent="0.4">
      <c r="A173" s="20"/>
      <c r="B173" s="7" t="s">
        <v>9</v>
      </c>
      <c r="C173" s="9" t="str">
        <f t="shared" ca="1" si="2"/>
        <v/>
      </c>
      <c r="D173" s="9" t="str">
        <f>[1]!splitstr($A173,CHAR(9),COLUMNS($D:D)-1)</f>
        <v/>
      </c>
      <c r="E173" s="9" t="str">
        <f>[1]!splitstr($A173,CHAR(9),COLUMNS($D:E)-1)</f>
        <v/>
      </c>
      <c r="F173" s="9" t="str">
        <f>[1]!splitstr($A173,CHAR(9),COLUMNS($D:F)-1)</f>
        <v/>
      </c>
      <c r="G173" s="9" t="str">
        <f>[1]!splitstr($A173,CHAR(9),COLUMNS($D:G)-1)</f>
        <v/>
      </c>
      <c r="H173" s="9" t="str">
        <f>[1]!splitstr($A173,CHAR(9),COLUMNS($D:H)-1)</f>
        <v/>
      </c>
      <c r="I173" s="26" t="str">
        <f>[1]!splitstr($A173,CHAR(9),COLUMNS($D:I)-1)</f>
        <v/>
      </c>
      <c r="J173" s="26" t="str">
        <f>[1]!splitstr($A173,CHAR(9),COLUMNS($D:J)-1)</f>
        <v/>
      </c>
      <c r="K173" s="26" t="str">
        <f>[1]!splitstr($A173,CHAR(9),COLUMNS($D:K)-1)</f>
        <v/>
      </c>
    </row>
    <row r="174" spans="1:11" s="2" customFormat="1" ht="12" customHeight="1" x14ac:dyDescent="0.4">
      <c r="A174" s="20"/>
      <c r="B174" s="7" t="s">
        <v>9</v>
      </c>
      <c r="C174" s="9" t="str">
        <f t="shared" ca="1" si="2"/>
        <v/>
      </c>
      <c r="D174" s="9" t="str">
        <f>[1]!splitstr($A174,CHAR(9),COLUMNS($D:D)-1)</f>
        <v/>
      </c>
      <c r="E174" s="9" t="str">
        <f>[1]!splitstr($A174,CHAR(9),COLUMNS($D:E)-1)</f>
        <v/>
      </c>
      <c r="F174" s="9" t="str">
        <f>[1]!splitstr($A174,CHAR(9),COLUMNS($D:F)-1)</f>
        <v/>
      </c>
      <c r="G174" s="9" t="str">
        <f>[1]!splitstr($A174,CHAR(9),COLUMNS($D:G)-1)</f>
        <v/>
      </c>
      <c r="H174" s="9" t="str">
        <f>[1]!splitstr($A174,CHAR(9),COLUMNS($D:H)-1)</f>
        <v/>
      </c>
      <c r="I174" s="26" t="str">
        <f>[1]!splitstr($A174,CHAR(9),COLUMNS($D:I)-1)</f>
        <v/>
      </c>
      <c r="J174" s="26" t="str">
        <f>[1]!splitstr($A174,CHAR(9),COLUMNS($D:J)-1)</f>
        <v/>
      </c>
      <c r="K174" s="26" t="str">
        <f>[1]!splitstr($A174,CHAR(9),COLUMNS($D:K)-1)</f>
        <v/>
      </c>
    </row>
    <row r="175" spans="1:11" s="2" customFormat="1" ht="12" customHeight="1" x14ac:dyDescent="0.4">
      <c r="A175" s="20"/>
      <c r="B175" s="7" t="s">
        <v>9</v>
      </c>
      <c r="C175" s="9" t="str">
        <f t="shared" ca="1" si="2"/>
        <v/>
      </c>
      <c r="D175" s="9" t="str">
        <f>[1]!splitstr($A175,CHAR(9),COLUMNS($D:D)-1)</f>
        <v/>
      </c>
      <c r="E175" s="9" t="str">
        <f>[1]!splitstr($A175,CHAR(9),COLUMNS($D:E)-1)</f>
        <v/>
      </c>
      <c r="F175" s="9" t="str">
        <f>[1]!splitstr($A175,CHAR(9),COLUMNS($D:F)-1)</f>
        <v/>
      </c>
      <c r="G175" s="9" t="str">
        <f>[1]!splitstr($A175,CHAR(9),COLUMNS($D:G)-1)</f>
        <v/>
      </c>
      <c r="H175" s="9" t="str">
        <f>[1]!splitstr($A175,CHAR(9),COLUMNS($D:H)-1)</f>
        <v/>
      </c>
      <c r="I175" s="26" t="str">
        <f>[1]!splitstr($A175,CHAR(9),COLUMNS($D:I)-1)</f>
        <v/>
      </c>
      <c r="J175" s="26" t="str">
        <f>[1]!splitstr($A175,CHAR(9),COLUMNS($D:J)-1)</f>
        <v/>
      </c>
      <c r="K175" s="26" t="str">
        <f>[1]!splitstr($A175,CHAR(9),COLUMNS($D:K)-1)</f>
        <v/>
      </c>
    </row>
    <row r="176" spans="1:11" s="2" customFormat="1" ht="12" customHeight="1" x14ac:dyDescent="0.4">
      <c r="A176" s="20"/>
      <c r="B176" s="7" t="s">
        <v>9</v>
      </c>
      <c r="C176" s="9" t="str">
        <f t="shared" ca="1" si="2"/>
        <v/>
      </c>
      <c r="D176" s="9" t="str">
        <f>[1]!splitstr($A176,CHAR(9),COLUMNS($D:D)-1)</f>
        <v/>
      </c>
      <c r="E176" s="9" t="str">
        <f>[1]!splitstr($A176,CHAR(9),COLUMNS($D:E)-1)</f>
        <v/>
      </c>
      <c r="F176" s="9" t="str">
        <f>[1]!splitstr($A176,CHAR(9),COLUMNS($D:F)-1)</f>
        <v/>
      </c>
      <c r="G176" s="9" t="str">
        <f>[1]!splitstr($A176,CHAR(9),COLUMNS($D:G)-1)</f>
        <v/>
      </c>
      <c r="H176" s="9" t="str">
        <f>[1]!splitstr($A176,CHAR(9),COLUMNS($D:H)-1)</f>
        <v/>
      </c>
      <c r="I176" s="26" t="str">
        <f>[1]!splitstr($A176,CHAR(9),COLUMNS($D:I)-1)</f>
        <v/>
      </c>
      <c r="J176" s="26" t="str">
        <f>[1]!splitstr($A176,CHAR(9),COLUMNS($D:J)-1)</f>
        <v/>
      </c>
      <c r="K176" s="26" t="str">
        <f>[1]!splitstr($A176,CHAR(9),COLUMNS($D:K)-1)</f>
        <v/>
      </c>
    </row>
    <row r="177" spans="1:11" s="2" customFormat="1" ht="12" customHeight="1" x14ac:dyDescent="0.4">
      <c r="A177" s="20"/>
      <c r="B177" s="7" t="s">
        <v>9</v>
      </c>
      <c r="C177" s="9" t="str">
        <f t="shared" ca="1" si="2"/>
        <v/>
      </c>
      <c r="D177" s="9" t="str">
        <f>[1]!splitstr($A177,CHAR(9),COLUMNS($D:D)-1)</f>
        <v/>
      </c>
      <c r="E177" s="9" t="str">
        <f>[1]!splitstr($A177,CHAR(9),COLUMNS($D:E)-1)</f>
        <v/>
      </c>
      <c r="F177" s="9" t="str">
        <f>[1]!splitstr($A177,CHAR(9),COLUMNS($D:F)-1)</f>
        <v/>
      </c>
      <c r="G177" s="9" t="str">
        <f>[1]!splitstr($A177,CHAR(9),COLUMNS($D:G)-1)</f>
        <v/>
      </c>
      <c r="H177" s="9" t="str">
        <f>[1]!splitstr($A177,CHAR(9),COLUMNS($D:H)-1)</f>
        <v/>
      </c>
      <c r="I177" s="26" t="str">
        <f>[1]!splitstr($A177,CHAR(9),COLUMNS($D:I)-1)</f>
        <v/>
      </c>
      <c r="J177" s="26" t="str">
        <f>[1]!splitstr($A177,CHAR(9),COLUMNS($D:J)-1)</f>
        <v/>
      </c>
      <c r="K177" s="26" t="str">
        <f>[1]!splitstr($A177,CHAR(9),COLUMNS($D:K)-1)</f>
        <v/>
      </c>
    </row>
    <row r="178" spans="1:11" s="2" customFormat="1" ht="12" customHeight="1" x14ac:dyDescent="0.4">
      <c r="A178" s="20"/>
      <c r="B178" s="7" t="s">
        <v>9</v>
      </c>
      <c r="C178" s="9" t="str">
        <f t="shared" ca="1" si="2"/>
        <v/>
      </c>
      <c r="D178" s="9" t="str">
        <f>[1]!splitstr($A178,CHAR(9),COLUMNS($D:D)-1)</f>
        <v/>
      </c>
      <c r="E178" s="9" t="str">
        <f>[1]!splitstr($A178,CHAR(9),COLUMNS($D:E)-1)</f>
        <v/>
      </c>
      <c r="F178" s="9" t="str">
        <f>[1]!splitstr($A178,CHAR(9),COLUMNS($D:F)-1)</f>
        <v/>
      </c>
      <c r="G178" s="9" t="str">
        <f>[1]!splitstr($A178,CHAR(9),COLUMNS($D:G)-1)</f>
        <v/>
      </c>
      <c r="H178" s="9" t="str">
        <f>[1]!splitstr($A178,CHAR(9),COLUMNS($D:H)-1)</f>
        <v/>
      </c>
      <c r="I178" s="26" t="str">
        <f>[1]!splitstr($A178,CHAR(9),COLUMNS($D:I)-1)</f>
        <v/>
      </c>
      <c r="J178" s="26" t="str">
        <f>[1]!splitstr($A178,CHAR(9),COLUMNS($D:J)-1)</f>
        <v/>
      </c>
      <c r="K178" s="26" t="str">
        <f>[1]!splitstr($A178,CHAR(9),COLUMNS($D:K)-1)</f>
        <v/>
      </c>
    </row>
    <row r="179" spans="1:11" s="2" customFormat="1" ht="12" customHeight="1" x14ac:dyDescent="0.4">
      <c r="A179" s="20"/>
      <c r="B179" s="7" t="s">
        <v>9</v>
      </c>
      <c r="C179" s="9" t="str">
        <f t="shared" ca="1" si="2"/>
        <v/>
      </c>
      <c r="D179" s="9" t="str">
        <f>[1]!splitstr($A179,CHAR(9),COLUMNS($D:D)-1)</f>
        <v/>
      </c>
      <c r="E179" s="9" t="str">
        <f>[1]!splitstr($A179,CHAR(9),COLUMNS($D:E)-1)</f>
        <v/>
      </c>
      <c r="F179" s="9" t="str">
        <f>[1]!splitstr($A179,CHAR(9),COLUMNS($D:F)-1)</f>
        <v/>
      </c>
      <c r="G179" s="9" t="str">
        <f>[1]!splitstr($A179,CHAR(9),COLUMNS($D:G)-1)</f>
        <v/>
      </c>
      <c r="H179" s="9" t="str">
        <f>[1]!splitstr($A179,CHAR(9),COLUMNS($D:H)-1)</f>
        <v/>
      </c>
      <c r="I179" s="26" t="str">
        <f>[1]!splitstr($A179,CHAR(9),COLUMNS($D:I)-1)</f>
        <v/>
      </c>
      <c r="J179" s="26" t="str">
        <f>[1]!splitstr($A179,CHAR(9),COLUMNS($D:J)-1)</f>
        <v/>
      </c>
      <c r="K179" s="26" t="str">
        <f>[1]!splitstr($A179,CHAR(9),COLUMNS($D:K)-1)</f>
        <v/>
      </c>
    </row>
    <row r="180" spans="1:11" s="2" customFormat="1" ht="12" customHeight="1" x14ac:dyDescent="0.4">
      <c r="A180" s="20"/>
      <c r="B180" s="7" t="s">
        <v>9</v>
      </c>
      <c r="C180" s="9" t="str">
        <f t="shared" ca="1" si="2"/>
        <v/>
      </c>
      <c r="D180" s="9" t="str">
        <f>[1]!splitstr($A180,CHAR(9),COLUMNS($D:D)-1)</f>
        <v/>
      </c>
      <c r="E180" s="9" t="str">
        <f>[1]!splitstr($A180,CHAR(9),COLUMNS($D:E)-1)</f>
        <v/>
      </c>
      <c r="F180" s="9" t="str">
        <f>[1]!splitstr($A180,CHAR(9),COLUMNS($D:F)-1)</f>
        <v/>
      </c>
      <c r="G180" s="9" t="str">
        <f>[1]!splitstr($A180,CHAR(9),COLUMNS($D:G)-1)</f>
        <v/>
      </c>
      <c r="H180" s="9" t="str">
        <f>[1]!splitstr($A180,CHAR(9),COLUMNS($D:H)-1)</f>
        <v/>
      </c>
      <c r="I180" s="26" t="str">
        <f>[1]!splitstr($A180,CHAR(9),COLUMNS($D:I)-1)</f>
        <v/>
      </c>
      <c r="J180" s="26" t="str">
        <f>[1]!splitstr($A180,CHAR(9),COLUMNS($D:J)-1)</f>
        <v/>
      </c>
      <c r="K180" s="26" t="str">
        <f>[1]!splitstr($A180,CHAR(9),COLUMNS($D:K)-1)</f>
        <v/>
      </c>
    </row>
    <row r="181" spans="1:11" s="2" customFormat="1" ht="12" customHeight="1" x14ac:dyDescent="0.4">
      <c r="A181" s="20"/>
      <c r="B181" s="7" t="s">
        <v>9</v>
      </c>
      <c r="C181" s="9" t="str">
        <f t="shared" ca="1" si="2"/>
        <v/>
      </c>
      <c r="D181" s="9" t="str">
        <f>[1]!splitstr($A181,CHAR(9),COLUMNS($D:D)-1)</f>
        <v/>
      </c>
      <c r="E181" s="9" t="str">
        <f>[1]!splitstr($A181,CHAR(9),COLUMNS($D:E)-1)</f>
        <v/>
      </c>
      <c r="F181" s="9" t="str">
        <f>[1]!splitstr($A181,CHAR(9),COLUMNS($D:F)-1)</f>
        <v/>
      </c>
      <c r="G181" s="9" t="str">
        <f>[1]!splitstr($A181,CHAR(9),COLUMNS($D:G)-1)</f>
        <v/>
      </c>
      <c r="H181" s="9" t="str">
        <f>[1]!splitstr($A181,CHAR(9),COLUMNS($D:H)-1)</f>
        <v/>
      </c>
      <c r="I181" s="26" t="str">
        <f>[1]!splitstr($A181,CHAR(9),COLUMNS($D:I)-1)</f>
        <v/>
      </c>
      <c r="J181" s="26" t="str">
        <f>[1]!splitstr($A181,CHAR(9),COLUMNS($D:J)-1)</f>
        <v/>
      </c>
      <c r="K181" s="26" t="str">
        <f>[1]!splitstr($A181,CHAR(9),COLUMNS($D:K)-1)</f>
        <v/>
      </c>
    </row>
    <row r="182" spans="1:11" s="2" customFormat="1" ht="12" customHeight="1" x14ac:dyDescent="0.4">
      <c r="A182" s="20"/>
      <c r="B182" s="7" t="s">
        <v>9</v>
      </c>
      <c r="C182" s="9" t="str">
        <f t="shared" ca="1" si="2"/>
        <v/>
      </c>
      <c r="D182" s="9" t="str">
        <f>[1]!splitstr($A182,CHAR(9),COLUMNS($D:D)-1)</f>
        <v/>
      </c>
      <c r="E182" s="9" t="str">
        <f>[1]!splitstr($A182,CHAR(9),COLUMNS($D:E)-1)</f>
        <v/>
      </c>
      <c r="F182" s="9" t="str">
        <f>[1]!splitstr($A182,CHAR(9),COLUMNS($D:F)-1)</f>
        <v/>
      </c>
      <c r="G182" s="9" t="str">
        <f>[1]!splitstr($A182,CHAR(9),COLUMNS($D:G)-1)</f>
        <v/>
      </c>
      <c r="H182" s="9" t="str">
        <f>[1]!splitstr($A182,CHAR(9),COLUMNS($D:H)-1)</f>
        <v/>
      </c>
      <c r="I182" s="26" t="str">
        <f>[1]!splitstr($A182,CHAR(9),COLUMNS($D:I)-1)</f>
        <v/>
      </c>
      <c r="J182" s="26" t="str">
        <f>[1]!splitstr($A182,CHAR(9),COLUMNS($D:J)-1)</f>
        <v/>
      </c>
      <c r="K182" s="26" t="str">
        <f>[1]!splitstr($A182,CHAR(9),COLUMNS($D:K)-1)</f>
        <v/>
      </c>
    </row>
    <row r="183" spans="1:11" s="2" customFormat="1" ht="12" customHeight="1" x14ac:dyDescent="0.4">
      <c r="A183" s="20"/>
      <c r="B183" s="7" t="s">
        <v>9</v>
      </c>
      <c r="C183" s="9" t="str">
        <f t="shared" ca="1" si="2"/>
        <v/>
      </c>
      <c r="D183" s="9" t="str">
        <f>[1]!splitstr($A183,CHAR(9),COLUMNS($D:D)-1)</f>
        <v/>
      </c>
      <c r="E183" s="9" t="str">
        <f>[1]!splitstr($A183,CHAR(9),COLUMNS($D:E)-1)</f>
        <v/>
      </c>
      <c r="F183" s="9" t="str">
        <f>[1]!splitstr($A183,CHAR(9),COLUMNS($D:F)-1)</f>
        <v/>
      </c>
      <c r="G183" s="9" t="str">
        <f>[1]!splitstr($A183,CHAR(9),COLUMNS($D:G)-1)</f>
        <v/>
      </c>
      <c r="H183" s="9" t="str">
        <f>[1]!splitstr($A183,CHAR(9),COLUMNS($D:H)-1)</f>
        <v/>
      </c>
      <c r="I183" s="26" t="str">
        <f>[1]!splitstr($A183,CHAR(9),COLUMNS($D:I)-1)</f>
        <v/>
      </c>
      <c r="J183" s="26" t="str">
        <f>[1]!splitstr($A183,CHAR(9),COLUMNS($D:J)-1)</f>
        <v/>
      </c>
      <c r="K183" s="26" t="str">
        <f>[1]!splitstr($A183,CHAR(9),COLUMNS($D:K)-1)</f>
        <v/>
      </c>
    </row>
    <row r="184" spans="1:11" s="2" customFormat="1" ht="12" customHeight="1" x14ac:dyDescent="0.4">
      <c r="A184" s="20"/>
      <c r="B184" s="7" t="s">
        <v>9</v>
      </c>
      <c r="C184" s="9" t="str">
        <f t="shared" ca="1" si="2"/>
        <v/>
      </c>
      <c r="D184" s="9" t="str">
        <f>[1]!splitstr($A184,CHAR(9),COLUMNS($D:D)-1)</f>
        <v/>
      </c>
      <c r="E184" s="9" t="str">
        <f>[1]!splitstr($A184,CHAR(9),COLUMNS($D:E)-1)</f>
        <v/>
      </c>
      <c r="F184" s="9" t="str">
        <f>[1]!splitstr($A184,CHAR(9),COLUMNS($D:F)-1)</f>
        <v/>
      </c>
      <c r="G184" s="9" t="str">
        <f>[1]!splitstr($A184,CHAR(9),COLUMNS($D:G)-1)</f>
        <v/>
      </c>
      <c r="H184" s="9" t="str">
        <f>[1]!splitstr($A184,CHAR(9),COLUMNS($D:H)-1)</f>
        <v/>
      </c>
      <c r="I184" s="26" t="str">
        <f>[1]!splitstr($A184,CHAR(9),COLUMNS($D:I)-1)</f>
        <v/>
      </c>
      <c r="J184" s="26" t="str">
        <f>[1]!splitstr($A184,CHAR(9),COLUMNS($D:J)-1)</f>
        <v/>
      </c>
      <c r="K184" s="26" t="str">
        <f>[1]!splitstr($A184,CHAR(9),COLUMNS($D:K)-1)</f>
        <v/>
      </c>
    </row>
    <row r="185" spans="1:11" s="2" customFormat="1" ht="12" customHeight="1" x14ac:dyDescent="0.4">
      <c r="A185" s="20"/>
      <c r="B185" s="7" t="s">
        <v>9</v>
      </c>
      <c r="C185" s="9" t="str">
        <f t="shared" ca="1" si="2"/>
        <v/>
      </c>
      <c r="D185" s="9" t="str">
        <f>[1]!splitstr($A185,CHAR(9),COLUMNS($D:D)-1)</f>
        <v/>
      </c>
      <c r="E185" s="9" t="str">
        <f>[1]!splitstr($A185,CHAR(9),COLUMNS($D:E)-1)</f>
        <v/>
      </c>
      <c r="F185" s="9" t="str">
        <f>[1]!splitstr($A185,CHAR(9),COLUMNS($D:F)-1)</f>
        <v/>
      </c>
      <c r="G185" s="9" t="str">
        <f>[1]!splitstr($A185,CHAR(9),COLUMNS($D:G)-1)</f>
        <v/>
      </c>
      <c r="H185" s="9" t="str">
        <f>[1]!splitstr($A185,CHAR(9),COLUMNS($D:H)-1)</f>
        <v/>
      </c>
      <c r="I185" s="26" t="str">
        <f>[1]!splitstr($A185,CHAR(9),COLUMNS($D:I)-1)</f>
        <v/>
      </c>
      <c r="J185" s="26" t="str">
        <f>[1]!splitstr($A185,CHAR(9),COLUMNS($D:J)-1)</f>
        <v/>
      </c>
      <c r="K185" s="26" t="str">
        <f>[1]!splitstr($A185,CHAR(9),COLUMNS($D:K)-1)</f>
        <v/>
      </c>
    </row>
    <row r="186" spans="1:11" s="2" customFormat="1" ht="12" customHeight="1" x14ac:dyDescent="0.4">
      <c r="A186" s="20"/>
      <c r="B186" s="7" t="s">
        <v>9</v>
      </c>
      <c r="C186" s="9" t="str">
        <f t="shared" ca="1" si="2"/>
        <v/>
      </c>
      <c r="D186" s="9" t="str">
        <f>[1]!splitstr($A186,CHAR(9),COLUMNS($D:D)-1)</f>
        <v/>
      </c>
      <c r="E186" s="9" t="str">
        <f>[1]!splitstr($A186,CHAR(9),COLUMNS($D:E)-1)</f>
        <v/>
      </c>
      <c r="F186" s="9" t="str">
        <f>[1]!splitstr($A186,CHAR(9),COLUMNS($D:F)-1)</f>
        <v/>
      </c>
      <c r="G186" s="9" t="str">
        <f>[1]!splitstr($A186,CHAR(9),COLUMNS($D:G)-1)</f>
        <v/>
      </c>
      <c r="H186" s="9" t="str">
        <f>[1]!splitstr($A186,CHAR(9),COLUMNS($D:H)-1)</f>
        <v/>
      </c>
      <c r="I186" s="26" t="str">
        <f>[1]!splitstr($A186,CHAR(9),COLUMNS($D:I)-1)</f>
        <v/>
      </c>
      <c r="J186" s="26" t="str">
        <f>[1]!splitstr($A186,CHAR(9),COLUMNS($D:J)-1)</f>
        <v/>
      </c>
      <c r="K186" s="26" t="str">
        <f>[1]!splitstr($A186,CHAR(9),COLUMNS($D:K)-1)</f>
        <v/>
      </c>
    </row>
    <row r="187" spans="1:11" s="2" customFormat="1" ht="12" customHeight="1" x14ac:dyDescent="0.4">
      <c r="A187" s="20"/>
      <c r="B187" s="7" t="s">
        <v>9</v>
      </c>
      <c r="C187" s="9" t="str">
        <f t="shared" ca="1" si="2"/>
        <v/>
      </c>
      <c r="D187" s="9" t="str">
        <f>[1]!splitstr($A187,CHAR(9),COLUMNS($D:D)-1)</f>
        <v/>
      </c>
      <c r="E187" s="9" t="str">
        <f>[1]!splitstr($A187,CHAR(9),COLUMNS($D:E)-1)</f>
        <v/>
      </c>
      <c r="F187" s="9" t="str">
        <f>[1]!splitstr($A187,CHAR(9),COLUMNS($D:F)-1)</f>
        <v/>
      </c>
      <c r="G187" s="9" t="str">
        <f>[1]!splitstr($A187,CHAR(9),COLUMNS($D:G)-1)</f>
        <v/>
      </c>
      <c r="H187" s="9" t="str">
        <f>[1]!splitstr($A187,CHAR(9),COLUMNS($D:H)-1)</f>
        <v/>
      </c>
      <c r="I187" s="26" t="str">
        <f>[1]!splitstr($A187,CHAR(9),COLUMNS($D:I)-1)</f>
        <v/>
      </c>
      <c r="J187" s="26" t="str">
        <f>[1]!splitstr($A187,CHAR(9),COLUMNS($D:J)-1)</f>
        <v/>
      </c>
      <c r="K187" s="26" t="str">
        <f>[1]!splitstr($A187,CHAR(9),COLUMNS($D:K)-1)</f>
        <v/>
      </c>
    </row>
    <row r="188" spans="1:11" s="2" customFormat="1" ht="12" customHeight="1" x14ac:dyDescent="0.4">
      <c r="A188" s="20"/>
      <c r="B188" s="7" t="s">
        <v>9</v>
      </c>
      <c r="C188" s="9" t="str">
        <f t="shared" ca="1" si="2"/>
        <v/>
      </c>
      <c r="D188" s="9" t="str">
        <f>[1]!splitstr($A188,CHAR(9),COLUMNS($D:D)-1)</f>
        <v/>
      </c>
      <c r="E188" s="9" t="str">
        <f>[1]!splitstr($A188,CHAR(9),COLUMNS($D:E)-1)</f>
        <v/>
      </c>
      <c r="F188" s="9" t="str">
        <f>[1]!splitstr($A188,CHAR(9),COLUMNS($D:F)-1)</f>
        <v/>
      </c>
      <c r="G188" s="9" t="str">
        <f>[1]!splitstr($A188,CHAR(9),COLUMNS($D:G)-1)</f>
        <v/>
      </c>
      <c r="H188" s="9" t="str">
        <f>[1]!splitstr($A188,CHAR(9),COLUMNS($D:H)-1)</f>
        <v/>
      </c>
      <c r="I188" s="26" t="str">
        <f>[1]!splitstr($A188,CHAR(9),COLUMNS($D:I)-1)</f>
        <v/>
      </c>
      <c r="J188" s="26" t="str">
        <f>[1]!splitstr($A188,CHAR(9),COLUMNS($D:J)-1)</f>
        <v/>
      </c>
      <c r="K188" s="26" t="str">
        <f>[1]!splitstr($A188,CHAR(9),COLUMNS($D:K)-1)</f>
        <v/>
      </c>
    </row>
    <row r="189" spans="1:11" s="2" customFormat="1" ht="12" customHeight="1" x14ac:dyDescent="0.4">
      <c r="A189" s="20"/>
      <c r="B189" s="7" t="s">
        <v>9</v>
      </c>
      <c r="C189" s="9" t="str">
        <f t="shared" ca="1" si="2"/>
        <v/>
      </c>
      <c r="D189" s="9" t="str">
        <f>[1]!splitstr($A189,CHAR(9),COLUMNS($D:D)-1)</f>
        <v/>
      </c>
      <c r="E189" s="9" t="str">
        <f>[1]!splitstr($A189,CHAR(9),COLUMNS($D:E)-1)</f>
        <v/>
      </c>
      <c r="F189" s="9" t="str">
        <f>[1]!splitstr($A189,CHAR(9),COLUMNS($D:F)-1)</f>
        <v/>
      </c>
      <c r="G189" s="9" t="str">
        <f>[1]!splitstr($A189,CHAR(9),COLUMNS($D:G)-1)</f>
        <v/>
      </c>
      <c r="H189" s="9" t="str">
        <f>[1]!splitstr($A189,CHAR(9),COLUMNS($D:H)-1)</f>
        <v/>
      </c>
      <c r="I189" s="26" t="str">
        <f>[1]!splitstr($A189,CHAR(9),COLUMNS($D:I)-1)</f>
        <v/>
      </c>
      <c r="J189" s="26" t="str">
        <f>[1]!splitstr($A189,CHAR(9),COLUMNS($D:J)-1)</f>
        <v/>
      </c>
      <c r="K189" s="26" t="str">
        <f>[1]!splitstr($A189,CHAR(9),COLUMNS($D:K)-1)</f>
        <v/>
      </c>
    </row>
    <row r="190" spans="1:11" s="2" customFormat="1" ht="12" customHeight="1" x14ac:dyDescent="0.4">
      <c r="A190" s="20"/>
      <c r="B190" s="7" t="s">
        <v>9</v>
      </c>
      <c r="C190" s="9" t="str">
        <f t="shared" ca="1" si="2"/>
        <v/>
      </c>
      <c r="D190" s="9" t="str">
        <f>[1]!splitstr($A190,CHAR(9),COLUMNS($D:D)-1)</f>
        <v/>
      </c>
      <c r="E190" s="9" t="str">
        <f>[1]!splitstr($A190,CHAR(9),COLUMNS($D:E)-1)</f>
        <v/>
      </c>
      <c r="F190" s="9" t="str">
        <f>[1]!splitstr($A190,CHAR(9),COLUMNS($D:F)-1)</f>
        <v/>
      </c>
      <c r="G190" s="9" t="str">
        <f>[1]!splitstr($A190,CHAR(9),COLUMNS($D:G)-1)</f>
        <v/>
      </c>
      <c r="H190" s="9" t="str">
        <f>[1]!splitstr($A190,CHAR(9),COLUMNS($D:H)-1)</f>
        <v/>
      </c>
      <c r="I190" s="26" t="str">
        <f>[1]!splitstr($A190,CHAR(9),COLUMNS($D:I)-1)</f>
        <v/>
      </c>
      <c r="J190" s="26" t="str">
        <f>[1]!splitstr($A190,CHAR(9),COLUMNS($D:J)-1)</f>
        <v/>
      </c>
      <c r="K190" s="26" t="str">
        <f>[1]!splitstr($A190,CHAR(9),COLUMNS($D:K)-1)</f>
        <v/>
      </c>
    </row>
    <row r="191" spans="1:11" s="2" customFormat="1" ht="12" customHeight="1" x14ac:dyDescent="0.4">
      <c r="A191" s="20"/>
      <c r="B191" s="7" t="s">
        <v>9</v>
      </c>
      <c r="C191" s="9" t="str">
        <f t="shared" ca="1" si="2"/>
        <v/>
      </c>
      <c r="D191" s="9" t="str">
        <f>[1]!splitstr($A191,CHAR(9),COLUMNS($D:D)-1)</f>
        <v/>
      </c>
      <c r="E191" s="9" t="str">
        <f>[1]!splitstr($A191,CHAR(9),COLUMNS($D:E)-1)</f>
        <v/>
      </c>
      <c r="F191" s="9" t="str">
        <f>[1]!splitstr($A191,CHAR(9),COLUMNS($D:F)-1)</f>
        <v/>
      </c>
      <c r="G191" s="9" t="str">
        <f>[1]!splitstr($A191,CHAR(9),COLUMNS($D:G)-1)</f>
        <v/>
      </c>
      <c r="H191" s="9" t="str">
        <f>[1]!splitstr($A191,CHAR(9),COLUMNS($D:H)-1)</f>
        <v/>
      </c>
      <c r="I191" s="26" t="str">
        <f>[1]!splitstr($A191,CHAR(9),COLUMNS($D:I)-1)</f>
        <v/>
      </c>
      <c r="J191" s="26" t="str">
        <f>[1]!splitstr($A191,CHAR(9),COLUMNS($D:J)-1)</f>
        <v/>
      </c>
      <c r="K191" s="26" t="str">
        <f>[1]!splitstr($A191,CHAR(9),COLUMNS($D:K)-1)</f>
        <v/>
      </c>
    </row>
    <row r="192" spans="1:11" s="2" customFormat="1" ht="12" customHeight="1" x14ac:dyDescent="0.4">
      <c r="A192" s="20"/>
      <c r="B192" s="7" t="s">
        <v>9</v>
      </c>
      <c r="C192" s="9" t="str">
        <f t="shared" ca="1" si="2"/>
        <v/>
      </c>
      <c r="D192" s="9" t="str">
        <f>[1]!splitstr($A192,CHAR(9),COLUMNS($D:D)-1)</f>
        <v/>
      </c>
      <c r="E192" s="9" t="str">
        <f>[1]!splitstr($A192,CHAR(9),COLUMNS($D:E)-1)</f>
        <v/>
      </c>
      <c r="F192" s="9" t="str">
        <f>[1]!splitstr($A192,CHAR(9),COLUMNS($D:F)-1)</f>
        <v/>
      </c>
      <c r="G192" s="9" t="str">
        <f>[1]!splitstr($A192,CHAR(9),COLUMNS($D:G)-1)</f>
        <v/>
      </c>
      <c r="H192" s="9" t="str">
        <f>[1]!splitstr($A192,CHAR(9),COLUMNS($D:H)-1)</f>
        <v/>
      </c>
      <c r="I192" s="26" t="str">
        <f>[1]!splitstr($A192,CHAR(9),COLUMNS($D:I)-1)</f>
        <v/>
      </c>
      <c r="J192" s="26" t="str">
        <f>[1]!splitstr($A192,CHAR(9),COLUMNS($D:J)-1)</f>
        <v/>
      </c>
      <c r="K192" s="26" t="str">
        <f>[1]!splitstr($A192,CHAR(9),COLUMNS($D:K)-1)</f>
        <v/>
      </c>
    </row>
    <row r="193" spans="1:11" s="2" customFormat="1" ht="12" customHeight="1" x14ac:dyDescent="0.4">
      <c r="A193" s="20"/>
      <c r="B193" s="7" t="s">
        <v>9</v>
      </c>
      <c r="C193" s="9" t="str">
        <f t="shared" ca="1" si="2"/>
        <v/>
      </c>
      <c r="D193" s="9" t="str">
        <f>[1]!splitstr($A193,CHAR(9),COLUMNS($D:D)-1)</f>
        <v/>
      </c>
      <c r="E193" s="9" t="str">
        <f>[1]!splitstr($A193,CHAR(9),COLUMNS($D:E)-1)</f>
        <v/>
      </c>
      <c r="F193" s="9" t="str">
        <f>[1]!splitstr($A193,CHAR(9),COLUMNS($D:F)-1)</f>
        <v/>
      </c>
      <c r="G193" s="9" t="str">
        <f>[1]!splitstr($A193,CHAR(9),COLUMNS($D:G)-1)</f>
        <v/>
      </c>
      <c r="H193" s="9" t="str">
        <f>[1]!splitstr($A193,CHAR(9),COLUMNS($D:H)-1)</f>
        <v/>
      </c>
      <c r="I193" s="26" t="str">
        <f>[1]!splitstr($A193,CHAR(9),COLUMNS($D:I)-1)</f>
        <v/>
      </c>
      <c r="J193" s="26" t="str">
        <f>[1]!splitstr($A193,CHAR(9),COLUMNS($D:J)-1)</f>
        <v/>
      </c>
      <c r="K193" s="26" t="str">
        <f>[1]!splitstr($A193,CHAR(9),COLUMNS($D:K)-1)</f>
        <v/>
      </c>
    </row>
    <row r="194" spans="1:11" s="2" customFormat="1" ht="12" customHeight="1" x14ac:dyDescent="0.4">
      <c r="A194" s="20"/>
      <c r="B194" s="7" t="s">
        <v>9</v>
      </c>
      <c r="C194" s="9" t="str">
        <f t="shared" ref="C194:C199" ca="1" si="3">IF(
    OR(
        $A194="",
        OFFSET($A194,-1,0)=""
    ),
    "",
    IF(
        OFFSET($A194,-1,0)=$A$1,
        1,
        OFFSET($C194,-1,0)+1
    )
)</f>
        <v/>
      </c>
      <c r="D194" s="9" t="str">
        <f>[1]!splitstr($A194,CHAR(9),COLUMNS($D:D)-1)</f>
        <v/>
      </c>
      <c r="E194" s="9" t="str">
        <f>[1]!splitstr($A194,CHAR(9),COLUMNS($D:E)-1)</f>
        <v/>
      </c>
      <c r="F194" s="9" t="str">
        <f>[1]!splitstr($A194,CHAR(9),COLUMNS($D:F)-1)</f>
        <v/>
      </c>
      <c r="G194" s="9" t="str">
        <f>[1]!splitstr($A194,CHAR(9),COLUMNS($D:G)-1)</f>
        <v/>
      </c>
      <c r="H194" s="9" t="str">
        <f>[1]!splitstr($A194,CHAR(9),COLUMNS($D:H)-1)</f>
        <v/>
      </c>
      <c r="I194" s="26" t="str">
        <f>[1]!splitstr($A194,CHAR(9),COLUMNS($D:I)-1)</f>
        <v/>
      </c>
      <c r="J194" s="26" t="str">
        <f>[1]!splitstr($A194,CHAR(9),COLUMNS($D:J)-1)</f>
        <v/>
      </c>
      <c r="K194" s="26" t="str">
        <f>[1]!splitstr($A194,CHAR(9),COLUMNS($D:K)-1)</f>
        <v/>
      </c>
    </row>
    <row r="195" spans="1:11" s="2" customFormat="1" ht="12" customHeight="1" x14ac:dyDescent="0.4">
      <c r="A195" s="20"/>
      <c r="B195" s="7" t="s">
        <v>9</v>
      </c>
      <c r="C195" s="9" t="str">
        <f t="shared" ca="1" si="3"/>
        <v/>
      </c>
      <c r="D195" s="9" t="str">
        <f>[1]!splitstr($A195,CHAR(9),COLUMNS($D:D)-1)</f>
        <v/>
      </c>
      <c r="E195" s="9" t="str">
        <f>[1]!splitstr($A195,CHAR(9),COLUMNS($D:E)-1)</f>
        <v/>
      </c>
      <c r="F195" s="9" t="str">
        <f>[1]!splitstr($A195,CHAR(9),COLUMNS($D:F)-1)</f>
        <v/>
      </c>
      <c r="G195" s="9" t="str">
        <f>[1]!splitstr($A195,CHAR(9),COLUMNS($D:G)-1)</f>
        <v/>
      </c>
      <c r="H195" s="9" t="str">
        <f>[1]!splitstr($A195,CHAR(9),COLUMNS($D:H)-1)</f>
        <v/>
      </c>
      <c r="I195" s="26" t="str">
        <f>[1]!splitstr($A195,CHAR(9),COLUMNS($D:I)-1)</f>
        <v/>
      </c>
      <c r="J195" s="26" t="str">
        <f>[1]!splitstr($A195,CHAR(9),COLUMNS($D:J)-1)</f>
        <v/>
      </c>
      <c r="K195" s="26" t="str">
        <f>[1]!splitstr($A195,CHAR(9),COLUMNS($D:K)-1)</f>
        <v/>
      </c>
    </row>
    <row r="196" spans="1:11" s="2" customFormat="1" ht="12" customHeight="1" x14ac:dyDescent="0.4">
      <c r="A196" s="20"/>
      <c r="B196" s="7" t="s">
        <v>9</v>
      </c>
      <c r="C196" s="9" t="str">
        <f t="shared" ca="1" si="3"/>
        <v/>
      </c>
      <c r="D196" s="9" t="str">
        <f>[1]!splitstr($A196,CHAR(9),COLUMNS($D:D)-1)</f>
        <v/>
      </c>
      <c r="E196" s="9" t="str">
        <f>[1]!splitstr($A196,CHAR(9),COLUMNS($D:E)-1)</f>
        <v/>
      </c>
      <c r="F196" s="9" t="str">
        <f>[1]!splitstr($A196,CHAR(9),COLUMNS($D:F)-1)</f>
        <v/>
      </c>
      <c r="G196" s="9" t="str">
        <f>[1]!splitstr($A196,CHAR(9),COLUMNS($D:G)-1)</f>
        <v/>
      </c>
      <c r="H196" s="9" t="str">
        <f>[1]!splitstr($A196,CHAR(9),COLUMNS($D:H)-1)</f>
        <v/>
      </c>
      <c r="I196" s="26" t="str">
        <f>[1]!splitstr($A196,CHAR(9),COLUMNS($D:I)-1)</f>
        <v/>
      </c>
      <c r="J196" s="26" t="str">
        <f>[1]!splitstr($A196,CHAR(9),COLUMNS($D:J)-1)</f>
        <v/>
      </c>
      <c r="K196" s="26" t="str">
        <f>[1]!splitstr($A196,CHAR(9),COLUMNS($D:K)-1)</f>
        <v/>
      </c>
    </row>
    <row r="197" spans="1:11" s="2" customFormat="1" ht="12" customHeight="1" x14ac:dyDescent="0.4">
      <c r="A197" s="20"/>
      <c r="B197" s="7" t="s">
        <v>9</v>
      </c>
      <c r="C197" s="9" t="str">
        <f t="shared" ca="1" si="3"/>
        <v/>
      </c>
      <c r="D197" s="9" t="str">
        <f>[1]!splitstr($A197,CHAR(9),COLUMNS($D:D)-1)</f>
        <v/>
      </c>
      <c r="E197" s="9" t="str">
        <f>[1]!splitstr($A197,CHAR(9),COLUMNS($D:E)-1)</f>
        <v/>
      </c>
      <c r="F197" s="9" t="str">
        <f>[1]!splitstr($A197,CHAR(9),COLUMNS($D:F)-1)</f>
        <v/>
      </c>
      <c r="G197" s="9" t="str">
        <f>[1]!splitstr($A197,CHAR(9),COLUMNS($D:G)-1)</f>
        <v/>
      </c>
      <c r="H197" s="9" t="str">
        <f>[1]!splitstr($A197,CHAR(9),COLUMNS($D:H)-1)</f>
        <v/>
      </c>
      <c r="I197" s="26" t="str">
        <f>[1]!splitstr($A197,CHAR(9),COLUMNS($D:I)-1)</f>
        <v/>
      </c>
      <c r="J197" s="26" t="str">
        <f>[1]!splitstr($A197,CHAR(9),COLUMNS($D:J)-1)</f>
        <v/>
      </c>
      <c r="K197" s="26" t="str">
        <f>[1]!splitstr($A197,CHAR(9),COLUMNS($D:K)-1)</f>
        <v/>
      </c>
    </row>
    <row r="198" spans="1:11" s="2" customFormat="1" ht="12" customHeight="1" x14ac:dyDescent="0.4">
      <c r="A198" s="20"/>
      <c r="B198" s="7" t="s">
        <v>9</v>
      </c>
      <c r="C198" s="9" t="str">
        <f t="shared" ca="1" si="3"/>
        <v/>
      </c>
      <c r="D198" s="9" t="str">
        <f>[1]!splitstr($A198,CHAR(9),COLUMNS($D:D)-1)</f>
        <v/>
      </c>
      <c r="E198" s="9" t="str">
        <f>[1]!splitstr($A198,CHAR(9),COLUMNS($D:E)-1)</f>
        <v/>
      </c>
      <c r="F198" s="9" t="str">
        <f>[1]!splitstr($A198,CHAR(9),COLUMNS($D:F)-1)</f>
        <v/>
      </c>
      <c r="G198" s="9" t="str">
        <f>[1]!splitstr($A198,CHAR(9),COLUMNS($D:G)-1)</f>
        <v/>
      </c>
      <c r="H198" s="9" t="str">
        <f>[1]!splitstr($A198,CHAR(9),COLUMNS($D:H)-1)</f>
        <v/>
      </c>
      <c r="I198" s="26" t="str">
        <f>[1]!splitstr($A198,CHAR(9),COLUMNS($D:I)-1)</f>
        <v/>
      </c>
      <c r="J198" s="26" t="str">
        <f>[1]!splitstr($A198,CHAR(9),COLUMNS($D:J)-1)</f>
        <v/>
      </c>
      <c r="K198" s="26" t="str">
        <f>[1]!splitstr($A198,CHAR(9),COLUMNS($D:K)-1)</f>
        <v/>
      </c>
    </row>
    <row r="199" spans="1:11" s="2" customFormat="1" ht="12" customHeight="1" x14ac:dyDescent="0.4">
      <c r="A199" s="20"/>
      <c r="B199" s="7" t="s">
        <v>9</v>
      </c>
      <c r="C199" s="9" t="str">
        <f t="shared" ca="1" si="3"/>
        <v/>
      </c>
      <c r="D199" s="9" t="str">
        <f>[1]!splitstr($A199,CHAR(9),COLUMNS($D:D)-1)</f>
        <v/>
      </c>
      <c r="E199" s="9" t="str">
        <f>[1]!splitstr($A199,CHAR(9),COLUMNS($D:E)-1)</f>
        <v/>
      </c>
      <c r="F199" s="9" t="str">
        <f>[1]!splitstr($A199,CHAR(9),COLUMNS($D:F)-1)</f>
        <v/>
      </c>
      <c r="G199" s="9" t="str">
        <f>[1]!splitstr($A199,CHAR(9),COLUMNS($D:G)-1)</f>
        <v/>
      </c>
      <c r="H199" s="9" t="str">
        <f>[1]!splitstr($A199,CHAR(9),COLUMNS($D:H)-1)</f>
        <v/>
      </c>
      <c r="I199" s="26" t="str">
        <f>[1]!splitstr($A199,CHAR(9),COLUMNS($D:I)-1)</f>
        <v/>
      </c>
      <c r="J199" s="26" t="str">
        <f>[1]!splitstr($A199,CHAR(9),COLUMNS($D:J)-1)</f>
        <v/>
      </c>
      <c r="K199" s="26" t="str">
        <f>[1]!splitstr($A199,CHAR(9),COLUMNS($D:K)-1)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2" x14ac:dyDescent="0.2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手入力</vt:lpstr>
      <vt:lpstr>SeratoHistory入力 </vt:lpstr>
      <vt:lpstr>【分割】MixCloud</vt:lpstr>
      <vt:lpstr>【分割】SuperTagEditer</vt:lpstr>
      <vt:lpstr>その他作業用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2017-03-18T02:11:25Z</dcterms:modified>
</cp:coreProperties>
</file>